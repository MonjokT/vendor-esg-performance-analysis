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drawings/drawing5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harts/chart6.xml" ContentType="application/vnd.openxmlformats-officedocument.drawingml.chart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 User\Desktop\"/>
    </mc:Choice>
  </mc:AlternateContent>
  <xr:revisionPtr revIDLastSave="0" documentId="13_ncr:20001_{0AB58C22-2DE8-49F5-9333-17A37001072E}" xr6:coauthVersionLast="47" xr6:coauthVersionMax="47" xr10:uidLastSave="{00000000-0000-0000-0000-000000000000}"/>
  <bookViews>
    <workbookView xWindow="-110" yWindow="-110" windowWidth="19420" windowHeight="10300" firstSheet="5" activeTab="7" xr2:uid="{00000000-000D-0000-FFFF-FFFF00000000}"/>
  </bookViews>
  <sheets>
    <sheet name="Top 10 Perfroming vendors" sheetId="1" r:id="rId1"/>
    <sheet name="Vendors with low Governance" sheetId="2" r:id="rId2"/>
    <sheet name="Vendor Category most in Demand" sheetId="3" r:id="rId3"/>
    <sheet name="Least Performing Vendors" sheetId="4" r:id="rId4"/>
    <sheet name="Overall Performance Status" sheetId="5" r:id="rId5"/>
    <sheet name="Cleaned Vendor ESG Data" sheetId="6" r:id="rId6"/>
    <sheet name="Vendors_V2 (2)" sheetId="7" r:id="rId7"/>
    <sheet name="ESG SCORE" sheetId="9" r:id="rId8"/>
  </sheets>
  <definedNames>
    <definedName name="_xlcn.WorksheetConnection_TOP50VENDORS.xlsxTable21" hidden="1">#REF!</definedName>
    <definedName name="Vendors_V2" localSheetId="5">'Cleaned Vendor ESG Data'!$A$1:$C$1</definedName>
    <definedName name="Vendors_V2" localSheetId="6">'Vendors_V2 (2)'!$A$1:$C$1</definedName>
    <definedName name="Vendors_V2">#REF!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" i="6" l="1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4" i="6"/>
  <c r="I68" i="6"/>
  <c r="I67" i="6"/>
  <c r="I66" i="6"/>
  <c r="I65" i="6"/>
  <c r="I64" i="6"/>
  <c r="I63" i="6"/>
  <c r="I62" i="6"/>
  <c r="I61" i="6"/>
  <c r="I60" i="6"/>
  <c r="I59" i="6"/>
  <c r="I58" i="6"/>
  <c r="I57" i="6"/>
  <c r="I56" i="6"/>
  <c r="I55" i="6"/>
  <c r="I54" i="6"/>
  <c r="I53" i="6"/>
  <c r="I52" i="6"/>
  <c r="I51" i="6"/>
  <c r="I50" i="6"/>
  <c r="I49" i="6"/>
  <c r="I48" i="6"/>
  <c r="I47" i="6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M12" i="6"/>
  <c r="I12" i="6"/>
  <c r="M11" i="6"/>
  <c r="I11" i="6"/>
  <c r="M10" i="6"/>
  <c r="I10" i="6"/>
  <c r="I9" i="6"/>
  <c r="M8" i="6"/>
  <c r="I8" i="6"/>
  <c r="I7" i="6"/>
  <c r="I6" i="6"/>
  <c r="I5" i="6"/>
  <c r="I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Ogunniyi</author>
  </authors>
  <commentList>
    <comment ref="A3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Michael Ogunniyi:
Unique vendor identifier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Ogunniyi</author>
  </authors>
  <commentList>
    <comment ref="A3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Michael Ogunniyi:
Unique vendor identifier</t>
        </r>
      </text>
    </comment>
  </commentList>
</comments>
</file>

<file path=xl/sharedStrings.xml><?xml version="1.0" encoding="utf-8"?>
<sst xmlns="http://schemas.openxmlformats.org/spreadsheetml/2006/main" count="879" uniqueCount="321">
  <si>
    <t>🏆  TOP 10 PERFORMING VENDORS BY ESG SCORE</t>
  </si>
  <si>
    <t>Assessment Status</t>
  </si>
  <si>
    <t>Completed</t>
  </si>
  <si>
    <t>CATEGORY      1</t>
  </si>
  <si>
    <t>All</t>
  </si>
  <si>
    <t>Row Labels</t>
  </si>
  <si>
    <t>Average of OVERALL ESG SCORE</t>
  </si>
  <si>
    <t>Hartwell Equip Nigeria Limited</t>
  </si>
  <si>
    <t>Foxdale Sustain Ltd</t>
  </si>
  <si>
    <t>Dunmore Develop Ltd</t>
  </si>
  <si>
    <t>Elmwood Enable Co. Ltd</t>
  </si>
  <si>
    <t>Clearwater Process Co. Ltd</t>
  </si>
  <si>
    <t>Blackwood Execute Limited</t>
  </si>
  <si>
    <t>Stonecrest Serve Nig. Ltd</t>
  </si>
  <si>
    <t>Glenbrook Empower Enterprises</t>
  </si>
  <si>
    <t>Redstone Provide Ltd</t>
  </si>
  <si>
    <t>Ashford Transform Nigeria Limited</t>
  </si>
  <si>
    <t>Grand Total</t>
  </si>
  <si>
    <t>⚠  VENDORS WITH LOW GOVERNANCE SCORES</t>
  </si>
  <si>
    <t>CORRECTIVE ACTIONS FOR IMPROVEMENT</t>
  </si>
  <si>
    <t>OBSERVED STRENGHTS</t>
  </si>
  <si>
    <t>VENDOR ORGANIZATION NAME</t>
  </si>
  <si>
    <t>Average of GOVERNANCE(Transperency,anti corruption ,compliance,ethical conduct</t>
  </si>
  <si>
    <t>Timely Supply/work wear Quality improvement</t>
  </si>
  <si>
    <t>Strong Communication</t>
  </si>
  <si>
    <t>Eagle Systems Company</t>
  </si>
  <si>
    <t>reliability of offer &amp; Communication</t>
  </si>
  <si>
    <t>Strong Capability in sourcing</t>
  </si>
  <si>
    <t>Falcon Industries Limited</t>
  </si>
  <si>
    <t>Imrpvemnet in communication and service delivery</t>
  </si>
  <si>
    <t>meets minimum expectation</t>
  </si>
  <si>
    <t>Global Ventures Limited</t>
  </si>
  <si>
    <t>Improvement on  supply of complete order/Excellence in service delivery</t>
  </si>
  <si>
    <t>Effective communication</t>
  </si>
  <si>
    <t>Copperton Manage Nig. Limited</t>
  </si>
  <si>
    <t>improvement on strategic sourcing and communication</t>
  </si>
  <si>
    <t>Exhibits resilience subiting proposals</t>
  </si>
  <si>
    <t>Cascade Capital Company</t>
  </si>
  <si>
    <t>Improvemnet un pricing and service delivery</t>
  </si>
  <si>
    <t>Excellent communication and timely delivery</t>
  </si>
  <si>
    <t>Stride Industrial Nigeria Limited</t>
  </si>
  <si>
    <t xml:space="preserve">Strict adherence to specification </t>
  </si>
  <si>
    <t>Cost Competitiveness</t>
  </si>
  <si>
    <t>Bright Solutions Ltd</t>
  </si>
  <si>
    <t>Improvement in specification and communication</t>
  </si>
  <si>
    <t>Delta Group Group Ltd</t>
  </si>
  <si>
    <t>📊  VENDOR CATEGORY ANALYSIS</t>
  </si>
  <si>
    <t>Count of VENDOR ORGANIZATION NAME</t>
  </si>
  <si>
    <t>Local Contractor Services</t>
  </si>
  <si>
    <t>Building and Construction</t>
  </si>
  <si>
    <t xml:space="preserve">Construction and Building Materials </t>
  </si>
  <si>
    <t>Cleaning Materials</t>
  </si>
  <si>
    <t xml:space="preserve">Critical Plant Spares </t>
  </si>
  <si>
    <t>Mechanical equipment</t>
  </si>
  <si>
    <t>Fuel</t>
  </si>
  <si>
    <t>Electrical Equipment</t>
  </si>
  <si>
    <t>Mechanical consumables and Tools</t>
  </si>
  <si>
    <t>Environmental Services</t>
  </si>
  <si>
    <t>PPE supply</t>
  </si>
  <si>
    <t>Water Treatment Chemicals</t>
  </si>
  <si>
    <t>Fire Equipments</t>
  </si>
  <si>
    <t xml:space="preserve">Fire Equipment </t>
  </si>
  <si>
    <t xml:space="preserve"> Electrical materials/Reagents</t>
  </si>
  <si>
    <t>Agro-Allied Products and Equipment</t>
  </si>
  <si>
    <t>Appliances</t>
  </si>
  <si>
    <t>Bearings</t>
  </si>
  <si>
    <t>Communication</t>
  </si>
  <si>
    <t>Dam Mintenance Instruments</t>
  </si>
  <si>
    <t xml:space="preserve">Electrical Equipment  </t>
  </si>
  <si>
    <t>Electrical equipment and installations</t>
  </si>
  <si>
    <t>Electrical Equipments&amp;Installations</t>
  </si>
  <si>
    <t xml:space="preserve">Electrical/Mechanical  Equipment  </t>
  </si>
  <si>
    <t>Fabrication and Installations of all kinds of Aluminium &amp;Metal Works</t>
  </si>
  <si>
    <t>Fire Protection System/Engineering Services</t>
  </si>
  <si>
    <t>Hospital Drugs</t>
  </si>
  <si>
    <t>Lubricants</t>
  </si>
  <si>
    <t>Mechanic and General services</t>
  </si>
  <si>
    <t>Mechanical Materials</t>
  </si>
  <si>
    <t xml:space="preserve">Mechanical Materials </t>
  </si>
  <si>
    <t>Medical Equipments</t>
  </si>
  <si>
    <t>Medical Laboratory reagents</t>
  </si>
  <si>
    <t>Motorcycle Spares</t>
  </si>
  <si>
    <t>Plant Compressors</t>
  </si>
  <si>
    <t>Plant Instrument</t>
  </si>
  <si>
    <t>Security Services</t>
  </si>
  <si>
    <t>Supply and Installationof  Aluminium &amp;Metal Works</t>
  </si>
  <si>
    <t>Supply of Eleftrical materials and Spares</t>
  </si>
  <si>
    <t>Supply,Installation of Electrical Equipment</t>
  </si>
  <si>
    <t>Tires</t>
  </si>
  <si>
    <t>Uniforms</t>
  </si>
  <si>
    <t>Water Treatment Chemicalss</t>
  </si>
  <si>
    <t>Water Treatment equipments</t>
  </si>
  <si>
    <t>📉  LEAST PERFORMING VENDORS — LOW GOVERNANCE</t>
  </si>
  <si>
    <t>📈  OVERALL VENDOR PERFORMANCE DISTRIBUTION</t>
  </si>
  <si>
    <t>Overall Performance Status</t>
  </si>
  <si>
    <t>Count of Overall Performance Status</t>
  </si>
  <si>
    <t>Low Performance</t>
  </si>
  <si>
    <t>Average Performance</t>
  </si>
  <si>
    <t>High Performance</t>
  </si>
  <si>
    <t>APEX VENDOR ESG ASSESSMENT DATA</t>
  </si>
  <si>
    <t>S/N</t>
  </si>
  <si>
    <t>ENVIRONMENTAL(Carbon footprint,waste mangement, resource efficency,compliace)%</t>
  </si>
  <si>
    <t>SOCIAL(Labour Practices,Diversity&amp;inclusion,community impact,health&amp;safety)</t>
  </si>
  <si>
    <t>GOVERNANCE(Transperency,anti corruption ,compliance,ethical conduct</t>
  </si>
  <si>
    <t>OVERALL ESG SCORE</t>
  </si>
  <si>
    <t>Vend-0101</t>
  </si>
  <si>
    <t>N/A</t>
  </si>
  <si>
    <t>Vend-0198</t>
  </si>
  <si>
    <t>Vend-0219</t>
  </si>
  <si>
    <t>Prime Resources Nigeria Limited</t>
  </si>
  <si>
    <t>improve in communication and delivery time</t>
  </si>
  <si>
    <t>Vend-0220</t>
  </si>
  <si>
    <t>Swift Enterprises Co. Ltd</t>
  </si>
  <si>
    <t>Quality supply of items</t>
  </si>
  <si>
    <t>Improve in cost competeiveness.</t>
  </si>
  <si>
    <t>Summary Description</t>
  </si>
  <si>
    <t>Statistics</t>
  </si>
  <si>
    <t>Vend-0001</t>
  </si>
  <si>
    <t>Crest Services Co. Ltd</t>
  </si>
  <si>
    <t>Communication &amp;Timely delivery</t>
  </si>
  <si>
    <t>Optimization of procurement strategy</t>
  </si>
  <si>
    <t>Vendor Count</t>
  </si>
  <si>
    <t>Vend-0004</t>
  </si>
  <si>
    <t>Pending Assessment</t>
  </si>
  <si>
    <t>Vend-0005</t>
  </si>
  <si>
    <t>Summit Holdings Ltd</t>
  </si>
  <si>
    <t>Effective sourcing Strategy</t>
  </si>
  <si>
    <t>Improve on email communication/response</t>
  </si>
  <si>
    <t>Global Average ESG score</t>
  </si>
  <si>
    <t>Vend-0006</t>
  </si>
  <si>
    <t>Goverance Average</t>
  </si>
  <si>
    <t>Vend-0007</t>
  </si>
  <si>
    <t>Titan Associates Ltd</t>
  </si>
  <si>
    <t>Delivery of Quality Items</t>
  </si>
  <si>
    <t>Improvemnet in pricing</t>
  </si>
  <si>
    <t>Environmental Average</t>
  </si>
  <si>
    <t>Vend-0008</t>
  </si>
  <si>
    <t>Sigma Partners International Ltd</t>
  </si>
  <si>
    <t>strategic sourcing of PPE &amp;effective communication</t>
  </si>
  <si>
    <t>Introducing flexible pricing models</t>
  </si>
  <si>
    <t>Vend-0010</t>
  </si>
  <si>
    <t>Pinnacle Technologies Enterprises</t>
  </si>
  <si>
    <t>Top Notch services with a high competent team</t>
  </si>
  <si>
    <t>Competeive pricing and drive innovation</t>
  </si>
  <si>
    <t>Pending</t>
  </si>
  <si>
    <t>Vend-0019</t>
  </si>
  <si>
    <t>Ridge Concepts Limited</t>
  </si>
  <si>
    <t>Effective Pricing strategy</t>
  </si>
  <si>
    <t>communication &amp;Timely delivery</t>
  </si>
  <si>
    <t>Vend-0033</t>
  </si>
  <si>
    <t>Nexus Dynamics Ltd</t>
  </si>
  <si>
    <t>Communication Enhancement</t>
  </si>
  <si>
    <t>Vend-0039</t>
  </si>
  <si>
    <t>Orbit Networks Co. Ltd</t>
  </si>
  <si>
    <t>Adherence to specification</t>
  </si>
  <si>
    <t>improvemnet on time of delivery</t>
  </si>
  <si>
    <t>Vend-0058</t>
  </si>
  <si>
    <t>Vertex Logistics Co. Ltd</t>
  </si>
  <si>
    <t>Competitive pricing mechanism</t>
  </si>
  <si>
    <t>Improvement  in completeness of order</t>
  </si>
  <si>
    <t>Vend-0060</t>
  </si>
  <si>
    <t>Cylon Innovations Group Ltd</t>
  </si>
  <si>
    <t>Competitive Pricing</t>
  </si>
  <si>
    <t>Enhanced delivery quality</t>
  </si>
  <si>
    <t>Vend-0062</t>
  </si>
  <si>
    <t>Helix Operations International Ltd</t>
  </si>
  <si>
    <t>Optimization of delivery quality</t>
  </si>
  <si>
    <t>Vend-0068</t>
  </si>
  <si>
    <t>Polar Works Limited</t>
  </si>
  <si>
    <t>Improvement on sourcing capability</t>
  </si>
  <si>
    <t>Vend-0079</t>
  </si>
  <si>
    <t>Vance Agency Group Ltd</t>
  </si>
  <si>
    <t>Excellent cost positioning</t>
  </si>
  <si>
    <t>improve on supply consistency and capital to execute projects</t>
  </si>
  <si>
    <t>Vend-0080</t>
  </si>
  <si>
    <t>Monro Integrated Co. Ltd</t>
  </si>
  <si>
    <t>Timely delivery &amp;sourcing</t>
  </si>
  <si>
    <t>Pricing improvemnet and innovation</t>
  </si>
  <si>
    <t>Vend-0082</t>
  </si>
  <si>
    <t>Steller Global Group Ltd</t>
  </si>
  <si>
    <t>Timely job completion</t>
  </si>
  <si>
    <t>Adaptation of innovation Cleaning Process</t>
  </si>
  <si>
    <t>Vend-0083</t>
  </si>
  <si>
    <t>Cobalt International Enterprises</t>
  </si>
  <si>
    <t>Expertice in provision of environemntal services</t>
  </si>
  <si>
    <t>Improvement in communication</t>
  </si>
  <si>
    <t>Vend-0087</t>
  </si>
  <si>
    <t>Lumex Advanced Co. Ltd</t>
  </si>
  <si>
    <t>Effective Communication/Innovation</t>
  </si>
  <si>
    <t>Improved flexibility(adaptation to change)</t>
  </si>
  <si>
    <t>Vend-0096</t>
  </si>
  <si>
    <t>Torque Professional Nig. Ltd</t>
  </si>
  <si>
    <t>Good pricing Positioning</t>
  </si>
  <si>
    <t>Maintenaining strict adherence to specification</t>
  </si>
  <si>
    <t>Vend-0098</t>
  </si>
  <si>
    <t>Flexo Technical International Ltd</t>
  </si>
  <si>
    <t>Supply of Quality Items</t>
  </si>
  <si>
    <t>Strict adherence to specification and improvement in communication</t>
  </si>
  <si>
    <t>Vend-0102</t>
  </si>
  <si>
    <t>Vend-0103</t>
  </si>
  <si>
    <t>Nova Commercial Limited</t>
  </si>
  <si>
    <t>Enhance service delivery excellence</t>
  </si>
  <si>
    <t>Vend-0112</t>
  </si>
  <si>
    <t>Zenith Engineering Company</t>
  </si>
  <si>
    <t>Delivery of quality Items</t>
  </si>
  <si>
    <t>Improve on pricing and service delivery</t>
  </si>
  <si>
    <t>Vend-0113</t>
  </si>
  <si>
    <t>Cyrus Supply Enterprises</t>
  </si>
  <si>
    <t>Multiskilled staff/versatile</t>
  </si>
  <si>
    <t>Improvement in cleaning services</t>
  </si>
  <si>
    <t>Vend-0114</t>
  </si>
  <si>
    <t>Maxfield Trade Nig. Limited</t>
  </si>
  <si>
    <t>efficient waste disposal</t>
  </si>
  <si>
    <t>Improve on waste disposal efficency</t>
  </si>
  <si>
    <t>Vend-0121</t>
  </si>
  <si>
    <t>Horizon Commerce Nigeria Limited</t>
  </si>
  <si>
    <t>Timely delivery of items</t>
  </si>
  <si>
    <t>Improvemnet on sourcing capacity/options</t>
  </si>
  <si>
    <t>Vend-0128</t>
  </si>
  <si>
    <t>Vend-0131</t>
  </si>
  <si>
    <t>Meridian Asset Co. Ltd</t>
  </si>
  <si>
    <t>Improvement in communication, pricing and innovation</t>
  </si>
  <si>
    <t>Vend-0147</t>
  </si>
  <si>
    <t>Solaris Link Nig. Limited</t>
  </si>
  <si>
    <t>Excellent Service  delivery</t>
  </si>
  <si>
    <t xml:space="preserve">improvement  in email communication </t>
  </si>
  <si>
    <t>Vend-0150</t>
  </si>
  <si>
    <t>Dextra Core Ltd</t>
  </si>
  <si>
    <t>optimization  of supply cost/cost reduction</t>
  </si>
  <si>
    <t>Vend-0153</t>
  </si>
  <si>
    <t>Grandex Prime Ltd</t>
  </si>
  <si>
    <t>Adoption of innovative practices</t>
  </si>
  <si>
    <t>Vend -0156</t>
  </si>
  <si>
    <t>Sterling Base Enterprises</t>
  </si>
  <si>
    <t xml:space="preserve">Innovation </t>
  </si>
  <si>
    <t>Vend -0157</t>
  </si>
  <si>
    <t>Crestline Force Ltd</t>
  </si>
  <si>
    <t>Improve in email communication</t>
  </si>
  <si>
    <t>Vend-0174</t>
  </si>
  <si>
    <t>Ironclad Connect Nig. Limited</t>
  </si>
  <si>
    <t>Mechanical Equipment</t>
  </si>
  <si>
    <t>improvemrnt on communication and delivery time</t>
  </si>
  <si>
    <t>Vend-0178</t>
  </si>
  <si>
    <t>Radiant Build Nig. Limited</t>
  </si>
  <si>
    <t>Improvement in delivery time.</t>
  </si>
  <si>
    <t>Vend-0179</t>
  </si>
  <si>
    <t>Blueridge Craft International Ltd</t>
  </si>
  <si>
    <t>improvement on email communication</t>
  </si>
  <si>
    <t>Vend-0180</t>
  </si>
  <si>
    <t>Paramount Forge Nigeria Limited</t>
  </si>
  <si>
    <t>Reliable quality of product</t>
  </si>
  <si>
    <t>Improvement on time of delivery</t>
  </si>
  <si>
    <t>Vend-0182</t>
  </si>
  <si>
    <t>Nortex Shape Limited</t>
  </si>
  <si>
    <t>Optimize Sourcing Capability</t>
  </si>
  <si>
    <t>Vend-0185</t>
  </si>
  <si>
    <t>Westfall Drive Nig. Ltd</t>
  </si>
  <si>
    <t>Vend-0194</t>
  </si>
  <si>
    <t>Eastgate Flow Group Ltd</t>
  </si>
  <si>
    <t>Timely delivery</t>
  </si>
  <si>
    <t>Improvement on flexibility and innovation</t>
  </si>
  <si>
    <t>Vend-0195</t>
  </si>
  <si>
    <t>Coretech Grow Ltd</t>
  </si>
  <si>
    <t>Timely delivery of Fuel</t>
  </si>
  <si>
    <t>Optimize capability through innovation</t>
  </si>
  <si>
    <t>Vend-0197</t>
  </si>
  <si>
    <t>Silverton Lead Enterprises</t>
  </si>
  <si>
    <t>Good service delivery</t>
  </si>
  <si>
    <t>Improvement in delivery time</t>
  </si>
  <si>
    <t>Vend-0201</t>
  </si>
  <si>
    <t>Goldfield Move Ltd</t>
  </si>
  <si>
    <t>Good service delivery(capentry)</t>
  </si>
  <si>
    <t>Vend-0203</t>
  </si>
  <si>
    <t>Stronghold Work Group Ltd</t>
  </si>
  <si>
    <t xml:space="preserve">improvement in email communication </t>
  </si>
  <si>
    <t>Vend-0206</t>
  </si>
  <si>
    <t>Fairway Support Nigeria Limited</t>
  </si>
  <si>
    <t>Trategic sourcing and Timely delivery</t>
  </si>
  <si>
    <t>Vend-0214</t>
  </si>
  <si>
    <t>Broadmoor Deliver International Ltd</t>
  </si>
  <si>
    <t>Communication and cost competeitiveness</t>
  </si>
  <si>
    <t>Improvement in sourcing capability</t>
  </si>
  <si>
    <t>Vend-0216</t>
  </si>
  <si>
    <t>Vend-0217</t>
  </si>
  <si>
    <t>Greenvale Source International Ltd</t>
  </si>
  <si>
    <t>Conformity to specification</t>
  </si>
  <si>
    <t>Optimizing supply cost/Cost reduction</t>
  </si>
  <si>
    <t>Vend-0094</t>
  </si>
  <si>
    <t>Whitmore Supply Co. Ltd</t>
  </si>
  <si>
    <t>Improve on completeness of order and optimization of supply cost</t>
  </si>
  <si>
    <t>Vend-0021</t>
  </si>
  <si>
    <t>Strenght in strategic sourcing&amp;Reliable delivery</t>
  </si>
  <si>
    <t>Vend-0037</t>
  </si>
  <si>
    <t>Innovation&amp; Optimizing supply cost</t>
  </si>
  <si>
    <t>Vend-0041</t>
  </si>
  <si>
    <t xml:space="preserve">Strategic Sourcing </t>
  </si>
  <si>
    <t>Innovation</t>
  </si>
  <si>
    <t>Vend-0048</t>
  </si>
  <si>
    <t>Strenght in strategic sourcing</t>
  </si>
  <si>
    <t>Vend-0049</t>
  </si>
  <si>
    <t>Vend-0052</t>
  </si>
  <si>
    <t>Delivery of quality items</t>
  </si>
  <si>
    <t>Vend-0056</t>
  </si>
  <si>
    <t>reliable quality of product</t>
  </si>
  <si>
    <t>Improvement in logistics/delivery mechanism</t>
  </si>
  <si>
    <t>Vend -0161</t>
  </si>
  <si>
    <t>Improve in time of delivery</t>
  </si>
  <si>
    <t>Vend-0202</t>
  </si>
  <si>
    <t>Building and construction</t>
  </si>
  <si>
    <t>Good service Delivery</t>
  </si>
  <si>
    <t>Vend-0209</t>
  </si>
  <si>
    <t>Excellent cost positioning/Topnotch services</t>
  </si>
  <si>
    <t>Improved Communication</t>
  </si>
  <si>
    <t xml:space="preserve"> </t>
  </si>
  <si>
    <t>Fire Equipment supply</t>
  </si>
  <si>
    <t>Mechanical Maaterials</t>
  </si>
  <si>
    <t>Water Treatment Chemical</t>
  </si>
  <si>
    <t>Cleaning Materals</t>
  </si>
  <si>
    <t>Column1</t>
  </si>
  <si>
    <t>Column2</t>
  </si>
  <si>
    <t xml:space="preserve"> VENDOR ESG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</si>
</sst>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sz val="11"/>
      <color rgb="FFC00000"/>
      <name val="Century Gothic"/>
      <family val="2"/>
    </font>
    <font>
      <sz val="11"/>
      <color rgb="FFFF0000"/>
      <name val="Century Gothic"/>
      <family val="2"/>
    </font>
    <font>
      <sz val="11"/>
      <name val="Century Gothic"/>
      <family val="2"/>
    </font>
    <font>
      <sz val="11"/>
      <color theme="1"/>
      <name val="Cascadia Code SemiBold"/>
      <family val="3"/>
    </font>
    <font>
      <sz val="11"/>
      <color rgb="FFFF0000"/>
      <name val="Cascadia Code SemiBold"/>
      <family val="3"/>
    </font>
    <font>
      <b/>
      <sz val="16"/>
      <color rgb="FFFFFFFF"/>
      <name val="Calibri"/>
    </font>
    <font>
      <b/>
      <sz val="10"/>
      <color rgb="FFFFFFFF"/>
      <name val="Calibri"/>
    </font>
    <font>
      <sz val="10"/>
      <color rgb="FF1A1A1A"/>
      <name val="Calibri"/>
    </font>
    <font>
      <b/>
      <sz val="10"/>
      <color rgb="FF2DC653"/>
      <name val="Calibri"/>
    </font>
    <font>
      <b/>
      <sz val="10"/>
      <color rgb="FFE63946"/>
      <name val="Calibri"/>
    </font>
    <font>
      <b/>
      <sz val="10"/>
      <color rgb="FF1A3C5E"/>
      <name val="Calibri"/>
    </font>
    <font>
      <b/>
      <sz val="14"/>
      <color rgb="FFFFFFFF"/>
      <name val="Calibri"/>
    </font>
    <font>
      <b/>
      <sz val="10"/>
      <color rgb="FFFFB703"/>
      <name val="Calibri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A3C5E"/>
      </patternFill>
    </fill>
    <fill>
      <patternFill patternType="solid">
        <fgColor rgb="FF2E86AB"/>
      </patternFill>
    </fill>
    <fill>
      <patternFill patternType="solid">
        <fgColor rgb="FFEBF4FA"/>
      </patternFill>
    </fill>
    <fill>
      <patternFill patternType="solid">
        <fgColor rgb="FFFFFFFF"/>
      </patternFill>
    </fill>
    <fill>
      <patternFill patternType="solid">
        <fgColor rgb="FFE63946"/>
      </patternFill>
    </fill>
  </fills>
  <borders count="3">
    <border>
      <left/>
      <right/>
      <top/>
      <bottom/>
      <diagonal/>
    </border>
    <border>
      <left style="medium">
        <color rgb="FF2E86AB"/>
      </left>
      <right style="medium">
        <color rgb="FF2E86AB"/>
      </right>
      <top style="medium">
        <color rgb="FF2E86AB"/>
      </top>
      <bottom style="medium">
        <color rgb="FF2E86AB"/>
      </bottom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2" fillId="0" borderId="0"/>
    <xf numFmtId="0" fontId="1" fillId="0" borderId="0"/>
  </cellStyleXfs>
  <cellXfs count="47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8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2" borderId="0" xfId="0" applyFont="1" applyFill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1" fontId="3" fillId="0" borderId="0" xfId="0" applyNumberFormat="1" applyFont="1"/>
    <xf numFmtId="164" fontId="7" fillId="0" borderId="0" xfId="0" applyNumberFormat="1" applyFont="1"/>
    <xf numFmtId="0" fontId="11" fillId="4" borderId="2" xfId="0" pivotButton="1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left" vertical="center" wrapText="1"/>
    </xf>
    <xf numFmtId="0" fontId="12" fillId="5" borderId="2" xfId="0" applyFont="1" applyFill="1" applyBorder="1" applyAlignment="1">
      <alignment horizontal="left" vertical="center" wrapText="1"/>
    </xf>
    <xf numFmtId="0" fontId="12" fillId="6" borderId="2" xfId="0" pivotButton="1" applyFont="1" applyFill="1" applyBorder="1" applyAlignment="1">
      <alignment horizontal="left" vertical="center" wrapText="1"/>
    </xf>
    <xf numFmtId="0" fontId="11" fillId="7" borderId="2" xfId="0" pivotButton="1" applyFont="1" applyFill="1" applyBorder="1" applyAlignment="1">
      <alignment horizontal="center" vertical="center" wrapText="1"/>
    </xf>
    <xf numFmtId="0" fontId="11" fillId="7" borderId="2" xfId="0" applyFont="1" applyFill="1" applyBorder="1" applyAlignment="1">
      <alignment horizontal="center" vertical="center" wrapText="1"/>
    </xf>
    <xf numFmtId="1" fontId="12" fillId="5" borderId="2" xfId="0" applyNumberFormat="1" applyFont="1" applyFill="1" applyBorder="1" applyAlignment="1">
      <alignment horizontal="left" vertical="center" wrapText="1"/>
    </xf>
    <xf numFmtId="1" fontId="12" fillId="6" borderId="2" xfId="0" applyNumberFormat="1" applyFont="1" applyFill="1" applyBorder="1" applyAlignment="1">
      <alignment horizontal="left" vertical="center" wrapText="1"/>
    </xf>
    <xf numFmtId="0" fontId="12" fillId="6" borderId="2" xfId="0" applyFont="1" applyFill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center" vertical="center" wrapText="1"/>
    </xf>
    <xf numFmtId="0" fontId="11" fillId="3" borderId="2" xfId="0" pivotButton="1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14" fillId="5" borderId="2" xfId="0" applyFont="1" applyFill="1" applyBorder="1" applyAlignment="1">
      <alignment horizontal="center" vertical="center" wrapText="1"/>
    </xf>
    <xf numFmtId="0" fontId="17" fillId="6" borderId="2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1" fontId="14" fillId="5" borderId="2" xfId="0" applyNumberFormat="1" applyFont="1" applyFill="1" applyBorder="1" applyAlignment="1">
      <alignment horizontal="left" vertical="center" wrapText="1"/>
    </xf>
    <xf numFmtId="0" fontId="13" fillId="5" borderId="2" xfId="0" applyFont="1" applyFill="1" applyBorder="1" applyAlignment="1">
      <alignment horizontal="left" vertical="center" wrapText="1"/>
    </xf>
    <xf numFmtId="1" fontId="14" fillId="6" borderId="2" xfId="0" applyNumberFormat="1" applyFont="1" applyFill="1" applyBorder="1" applyAlignment="1">
      <alignment horizontal="left" vertical="center" wrapText="1"/>
    </xf>
    <xf numFmtId="1" fontId="15" fillId="5" borderId="2" xfId="0" applyNumberFormat="1" applyFont="1" applyFill="1" applyBorder="1" applyAlignment="1">
      <alignment horizontal="left" vertical="center" wrapText="1"/>
    </xf>
    <xf numFmtId="1" fontId="15" fillId="6" borderId="2" xfId="0" applyNumberFormat="1" applyFont="1" applyFill="1" applyBorder="1" applyAlignment="1">
      <alignment horizontal="left" vertical="center" wrapText="1"/>
    </xf>
    <xf numFmtId="1" fontId="13" fillId="6" borderId="2" xfId="0" applyNumberFormat="1" applyFont="1" applyFill="1" applyBorder="1" applyAlignment="1">
      <alignment horizontal="left" vertical="center" wrapText="1"/>
    </xf>
    <xf numFmtId="1" fontId="13" fillId="5" borderId="2" xfId="0" applyNumberFormat="1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center" vertical="center" wrapText="1"/>
    </xf>
    <xf numFmtId="0" fontId="0" fillId="0" borderId="0" xfId="0"/>
    <xf numFmtId="0" fontId="16" fillId="7" borderId="0" xfId="0" applyFont="1" applyFill="1" applyAlignment="1">
      <alignment horizontal="center" vertical="center" wrapText="1"/>
    </xf>
    <xf numFmtId="0" fontId="16" fillId="4" borderId="0" xfId="0" applyFont="1" applyFill="1" applyAlignment="1">
      <alignment horizontal="center" vertical="center" wrapText="1"/>
    </xf>
    <xf numFmtId="0" fontId="10" fillId="3" borderId="0" xfId="0" applyFont="1" applyFill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9" fillId="0" borderId="0" xfId="0" applyFont="1"/>
  </cellXfs>
  <cellStyles count="5">
    <cellStyle name="Normal" xfId="0" builtinId="0"/>
    <cellStyle name="Normal 2" xfId="3" xr:uid="{00000000-0005-0000-0000-000003000000}"/>
    <cellStyle name="Normal 3" xfId="1" xr:uid="{00000000-0005-0000-0000-000001000000}"/>
    <cellStyle name="Normal 4" xfId="2" xr:uid="{00000000-0005-0000-0000-000002000000}"/>
    <cellStyle name="Normal 5" xfId="4" xr:uid="{00000000-0005-0000-0000-000004000000}"/>
  </cellStyles>
  <dxfs count="8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theme="1"/>
        <name val="Century Gothic"/>
        <family val="2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entury Gothic"/>
        <family val="2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pivotSource>
    <c:name>[TOP 50 VENDORS.xlsx]Top 10 Perfroming vendors!PivotTable2</c:name>
    <c:fmtId val="0"/>
  </c:pivotSource>
  <c:chart>
    <c:title>
      <c:tx>
        <c:rich>
          <a:bodyPr/>
          <a:lstStyle/>
          <a:p>
            <a:r>
              <a:rPr lang="en-US"/>
              <a:t>None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Perfroming vendors'!$B$4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'Top 10 Perfroming vendors'!$A$5:$A$15</c:f>
              <c:strCache>
                <c:ptCount val="10"/>
                <c:pt idx="0">
                  <c:v>Hartwell Equip Nigeria Limited</c:v>
                </c:pt>
                <c:pt idx="1">
                  <c:v>Foxdale Sustain Ltd</c:v>
                </c:pt>
                <c:pt idx="2">
                  <c:v>Dunmore Develop Ltd</c:v>
                </c:pt>
                <c:pt idx="3">
                  <c:v>Elmwood Enable Co. Ltd</c:v>
                </c:pt>
                <c:pt idx="4">
                  <c:v>Clearwater Process Co. Ltd</c:v>
                </c:pt>
                <c:pt idx="5">
                  <c:v>Blackwood Execute Limited</c:v>
                </c:pt>
                <c:pt idx="6">
                  <c:v>Stonecrest Serve Nig. Ltd</c:v>
                </c:pt>
                <c:pt idx="7">
                  <c:v>Glenbrook Empower Enterprises</c:v>
                </c:pt>
                <c:pt idx="8">
                  <c:v>Redstone Provide Ltd</c:v>
                </c:pt>
                <c:pt idx="9">
                  <c:v>Ashford Transform Nigeria Limited</c:v>
                </c:pt>
              </c:strCache>
            </c:strRef>
          </c:cat>
          <c:val>
            <c:numRef>
              <c:f>'Top 10 Perfroming vendors'!$B$5:$B$15</c:f>
              <c:numCache>
                <c:formatCode>General</c:formatCode>
                <c:ptCount val="10"/>
                <c:pt idx="0">
                  <c:v>83</c:v>
                </c:pt>
                <c:pt idx="1">
                  <c:v>83</c:v>
                </c:pt>
                <c:pt idx="2">
                  <c:v>85</c:v>
                </c:pt>
                <c:pt idx="3">
                  <c:v>85</c:v>
                </c:pt>
                <c:pt idx="4">
                  <c:v>85</c:v>
                </c:pt>
                <c:pt idx="5">
                  <c:v>85</c:v>
                </c:pt>
                <c:pt idx="6">
                  <c:v>90</c:v>
                </c:pt>
                <c:pt idx="7">
                  <c:v>90</c:v>
                </c:pt>
                <c:pt idx="8">
                  <c:v>90</c:v>
                </c:pt>
                <c:pt idx="9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4F-489D-B917-F46AE3D538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80016840"/>
        <c:axId val="380014680"/>
      </c:barChart>
      <c:catAx>
        <c:axId val="3800168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0014680"/>
        <c:crosses val="autoZero"/>
        <c:auto val="1"/>
        <c:lblAlgn val="ctr"/>
        <c:lblOffset val="100"/>
        <c:noMultiLvlLbl val="0"/>
      </c:catAx>
      <c:valAx>
        <c:axId val="380014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0016840"/>
        <c:crosses val="autoZero"/>
        <c:crossBetween val="between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pivotSource>
    <c:name>[TOP 50 VENDORS.xlsx]Top 10 Perfroming vendors!PivotTable2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40" b="0" i="0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>
                    <a:lumMod val="50000"/>
                    <a:lumOff val="50000"/>
                  </a:schemeClr>
                </a:solidFill>
              </a:rPr>
              <a:t>Top 10 Performing Vendors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  <a:prstDash val="solid"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CDCE8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CCDCE8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CCDCE8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50697851017899298"/>
          <c:y val="8.3062054386748532E-2"/>
          <c:w val="0.49302148982100708"/>
          <c:h val="0.858252466902969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'Top 10 Perfroming vendors'!$B$4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CDCE8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0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'Top 10 Perfroming vendors'!$A$5:$A$15</c:f>
              <c:strCache>
                <c:ptCount val="10"/>
                <c:pt idx="0">
                  <c:v>Hartwell Equip Nigeria Limited</c:v>
                </c:pt>
                <c:pt idx="1">
                  <c:v>Foxdale Sustain Ltd</c:v>
                </c:pt>
                <c:pt idx="2">
                  <c:v>Dunmore Develop Ltd</c:v>
                </c:pt>
                <c:pt idx="3">
                  <c:v>Elmwood Enable Co. Ltd</c:v>
                </c:pt>
                <c:pt idx="4">
                  <c:v>Clearwater Process Co. Ltd</c:v>
                </c:pt>
                <c:pt idx="5">
                  <c:v>Blackwood Execute Limited</c:v>
                </c:pt>
                <c:pt idx="6">
                  <c:v>Stonecrest Serve Nig. Ltd</c:v>
                </c:pt>
                <c:pt idx="7">
                  <c:v>Glenbrook Empower Enterprises</c:v>
                </c:pt>
                <c:pt idx="8">
                  <c:v>Redstone Provide Ltd</c:v>
                </c:pt>
                <c:pt idx="9">
                  <c:v>Ashford Transform Nigeria Limited</c:v>
                </c:pt>
              </c:strCache>
            </c:strRef>
          </c:cat>
          <c:val>
            <c:numRef>
              <c:f>'Top 10 Perfroming vendors'!$B$5:$B$15</c:f>
              <c:numCache>
                <c:formatCode>General</c:formatCode>
                <c:ptCount val="10"/>
                <c:pt idx="0">
                  <c:v>83</c:v>
                </c:pt>
                <c:pt idx="1">
                  <c:v>83</c:v>
                </c:pt>
                <c:pt idx="2">
                  <c:v>85</c:v>
                </c:pt>
                <c:pt idx="3">
                  <c:v>85</c:v>
                </c:pt>
                <c:pt idx="4">
                  <c:v>85</c:v>
                </c:pt>
                <c:pt idx="5">
                  <c:v>85</c:v>
                </c:pt>
                <c:pt idx="6">
                  <c:v>90</c:v>
                </c:pt>
                <c:pt idx="7">
                  <c:v>90</c:v>
                </c:pt>
                <c:pt idx="8">
                  <c:v>90</c:v>
                </c:pt>
                <c:pt idx="9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F8-46D2-A576-EF60E051B3E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6"/>
        <c:overlap val="2"/>
        <c:axId val="380016840"/>
        <c:axId val="380014680"/>
      </c:barChart>
      <c:catAx>
        <c:axId val="38001684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>
                        <a:lumMod val="50000"/>
                        <a:lumOff val="50000"/>
                      </a:schemeClr>
                    </a:solidFill>
                  </a:rPr>
                  <a:t>Vendor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2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0014680"/>
        <c:crosses val="autoZero"/>
        <c:auto val="1"/>
        <c:lblAlgn val="ctr"/>
        <c:lblOffset val="100"/>
        <c:noMultiLvlLbl val="0"/>
      </c:catAx>
      <c:valAx>
        <c:axId val="380014680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l">
                  <a:defRPr sz="1200" b="0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chemeClr val="tx1">
                        <a:lumMod val="50000"/>
                        <a:lumOff val="50000"/>
                      </a:schemeClr>
                    </a:solidFill>
                  </a:rPr>
                  <a:t>ESG Score</a:t>
                </a:r>
              </a:p>
            </c:rich>
          </c:tx>
          <c:layout>
            <c:manualLayout>
              <c:xMode val="edge"/>
              <c:yMode val="edge"/>
              <c:x val="0.47230758431650549"/>
              <c:y val="0.9322370199727642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crossAx val="380016840"/>
        <c:crosses val="autoZero"/>
        <c:crossBetween val="between"/>
      </c:valAx>
    </c:plotArea>
    <c:plotVisOnly val="1"/>
    <c:dispBlanksAs val="gap"/>
    <c:showDLblsOverMax val="1"/>
  </c:chart>
  <c:spPr>
    <a:solidFill>
      <a:srgbClr val="F8F9FA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pivotSource>
    <c:name>[TOP 50 VENDORS.xlsx]Vendor Category most in Demand!PivotTable5</c:name>
    <c:fmtId val="0"/>
  </c:pivotSource>
  <c:chart>
    <c:autoTitleDeleted val="1"/>
    <c:pivotFmts>
      <c:pivotFmt>
        <c:idx val="0"/>
        <c:spPr>
          <a:ln w="28575" cap="rnd">
            <a:solidFill>
              <a:schemeClr val="accent1"/>
            </a:solidFill>
            <a:prstDash val="solid"/>
            <a:round/>
          </a:ln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prstDash val="solid"/>
            <a:round/>
          </a:ln>
        </c:spPr>
        <c:marker>
          <c:symbol val="none"/>
        </c:marker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'Vendor Category most in Demand'!$B$3</c:f>
              <c:strCache>
                <c:ptCount val="1"/>
                <c:pt idx="0">
                  <c:v>Count of VENDOR ORGANIZATION NAME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'Vendor Category most in Demand'!$A$4:$A$18</c:f>
              <c:strCache>
                <c:ptCount val="14"/>
                <c:pt idx="0">
                  <c:v>Local Contractor Services</c:v>
                </c:pt>
                <c:pt idx="1">
                  <c:v>Building and Construction</c:v>
                </c:pt>
                <c:pt idx="2">
                  <c:v>Construction and Building Materials </c:v>
                </c:pt>
                <c:pt idx="3">
                  <c:v>Cleaning Materials</c:v>
                </c:pt>
                <c:pt idx="4">
                  <c:v>Critical Plant Spares </c:v>
                </c:pt>
                <c:pt idx="5">
                  <c:v>Mechanical equipment</c:v>
                </c:pt>
                <c:pt idx="6">
                  <c:v>Fuel</c:v>
                </c:pt>
                <c:pt idx="7">
                  <c:v>Electrical Equipment</c:v>
                </c:pt>
                <c:pt idx="8">
                  <c:v>Mechanical consumables and Tools</c:v>
                </c:pt>
                <c:pt idx="9">
                  <c:v>Environmental Services</c:v>
                </c:pt>
                <c:pt idx="10">
                  <c:v>PPE supply</c:v>
                </c:pt>
                <c:pt idx="11">
                  <c:v>Water Treatment Chemicals</c:v>
                </c:pt>
                <c:pt idx="12">
                  <c:v>Fire Equipments</c:v>
                </c:pt>
                <c:pt idx="13">
                  <c:v>Fire Equipment </c:v>
                </c:pt>
              </c:strCache>
            </c:strRef>
          </c:cat>
          <c:val>
            <c:numRef>
              <c:f>'Vendor Category most in Demand'!$B$4:$B$18</c:f>
              <c:numCache>
                <c:formatCode>General</c:formatCode>
                <c:ptCount val="14"/>
                <c:pt idx="0">
                  <c:v>4</c:v>
                </c:pt>
                <c:pt idx="1">
                  <c:v>4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D2-4CE9-8B6A-9D7BDE3F9826}"/>
            </c:ext>
          </c:extLst>
        </c:ser>
        <c:ser>
          <c:idx val="1"/>
          <c:order val="1"/>
          <c:tx>
            <c:strRef>
              <c:f>'Vendor Category most in Demand'!$C$3</c:f>
              <c:strCache>
                <c:ptCount val="1"/>
                <c:pt idx="0">
                  <c:v>Average of OVERALL ESG SCORE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'Vendor Category most in Demand'!$A$4:$A$18</c:f>
              <c:strCache>
                <c:ptCount val="14"/>
                <c:pt idx="0">
                  <c:v>Local Contractor Services</c:v>
                </c:pt>
                <c:pt idx="1">
                  <c:v>Building and Construction</c:v>
                </c:pt>
                <c:pt idx="2">
                  <c:v>Construction and Building Materials </c:v>
                </c:pt>
                <c:pt idx="3">
                  <c:v>Cleaning Materials</c:v>
                </c:pt>
                <c:pt idx="4">
                  <c:v>Critical Plant Spares </c:v>
                </c:pt>
                <c:pt idx="5">
                  <c:v>Mechanical equipment</c:v>
                </c:pt>
                <c:pt idx="6">
                  <c:v>Fuel</c:v>
                </c:pt>
                <c:pt idx="7">
                  <c:v>Electrical Equipment</c:v>
                </c:pt>
                <c:pt idx="8">
                  <c:v>Mechanical consumables and Tools</c:v>
                </c:pt>
                <c:pt idx="9">
                  <c:v>Environmental Services</c:v>
                </c:pt>
                <c:pt idx="10">
                  <c:v>PPE supply</c:v>
                </c:pt>
                <c:pt idx="11">
                  <c:v>Water Treatment Chemicals</c:v>
                </c:pt>
                <c:pt idx="12">
                  <c:v>Fire Equipments</c:v>
                </c:pt>
                <c:pt idx="13">
                  <c:v>Fire Equipment </c:v>
                </c:pt>
              </c:strCache>
            </c:strRef>
          </c:cat>
          <c:val>
            <c:numRef>
              <c:f>'Vendor Category most in Demand'!$C$4:$C$18</c:f>
              <c:numCache>
                <c:formatCode>General</c:formatCode>
                <c:ptCount val="14"/>
                <c:pt idx="0">
                  <c:v>75</c:v>
                </c:pt>
                <c:pt idx="1">
                  <c:v>74</c:v>
                </c:pt>
                <c:pt idx="2">
                  <c:v>74.333333333333329</c:v>
                </c:pt>
                <c:pt idx="3">
                  <c:v>80</c:v>
                </c:pt>
                <c:pt idx="4">
                  <c:v>81.666666666666671</c:v>
                </c:pt>
                <c:pt idx="5">
                  <c:v>72.5</c:v>
                </c:pt>
                <c:pt idx="6">
                  <c:v>70</c:v>
                </c:pt>
                <c:pt idx="7">
                  <c:v>80</c:v>
                </c:pt>
                <c:pt idx="8">
                  <c:v>75</c:v>
                </c:pt>
                <c:pt idx="9">
                  <c:v>78</c:v>
                </c:pt>
                <c:pt idx="10">
                  <c:v>70</c:v>
                </c:pt>
                <c:pt idx="11">
                  <c:v>80</c:v>
                </c:pt>
                <c:pt idx="12">
                  <c:v>77.5</c:v>
                </c:pt>
                <c:pt idx="13">
                  <c:v>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D2-4CE9-8B6A-9D7BDE3F98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5402992"/>
        <c:axId val="1045408392"/>
      </c:lineChart>
      <c:catAx>
        <c:axId val="1045402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5408392"/>
        <c:crosses val="autoZero"/>
        <c:auto val="1"/>
        <c:lblAlgn val="ctr"/>
        <c:lblOffset val="100"/>
        <c:noMultiLvlLbl val="0"/>
      </c:catAx>
      <c:valAx>
        <c:axId val="104540839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5402992"/>
        <c:crosses val="autoZero"/>
        <c:crossBetween val="between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pivotSource>
    <c:name>[TOP 50 VENDORS.xlsx]Least Performing Vendors!PivotTable1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solidFill>
                  <a:schemeClr val="tx2">
                    <a:lumMod val="75000"/>
                  </a:schemeClr>
                </a:solidFill>
              </a:rPr>
              <a:t>Least Performing Vendors</a:t>
            </a:r>
          </a:p>
          <a:p>
            <a:pPr>
              <a:defRPr sz="1400" b="0" i="0" strike="noStrike" kern="1200" spc="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None</a:t>
            </a:r>
            <a:endParaRPr lang="en-US">
              <a:solidFill>
                <a:schemeClr val="tx2">
                  <a:lumMod val="75000"/>
                </a:schemeClr>
              </a:solidFill>
            </a:endParaRPr>
          </a:p>
        </c:rich>
      </c:tx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  <c:spPr>
          <a:ln w="28575" cap="rnd">
            <a:solidFill>
              <a:srgbClr val="385F7C"/>
            </a:solidFill>
            <a:prstDash val="solid"/>
            <a:round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strike="noStrike" kern="1200" baseline="0">
                  <a:solidFill>
                    <a:srgbClr val="385F7C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radarChart>
        <c:radarStyle val="marker"/>
        <c:varyColors val="0"/>
        <c:ser>
          <c:idx val="0"/>
          <c:order val="0"/>
          <c:tx>
            <c:strRef>
              <c:f>'Least Performing Vendors'!$B$3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385F7C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strike="noStrike" kern="1200" baseline="0">
                    <a:solidFill>
                      <a:srgbClr val="385F7C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'Least Performing Vendors'!$A$4:$A$12</c:f>
              <c:strCache>
                <c:ptCount val="8"/>
                <c:pt idx="0">
                  <c:v>Bright Solutions Ltd</c:v>
                </c:pt>
                <c:pt idx="1">
                  <c:v>Stride Industrial Nigeria Limited</c:v>
                </c:pt>
                <c:pt idx="2">
                  <c:v>Delta Group Group Ltd</c:v>
                </c:pt>
                <c:pt idx="3">
                  <c:v>Cascade Capital Company</c:v>
                </c:pt>
                <c:pt idx="4">
                  <c:v>Copperton Manage Nig. Limited</c:v>
                </c:pt>
                <c:pt idx="5">
                  <c:v>Global Ventures Limited</c:v>
                </c:pt>
                <c:pt idx="6">
                  <c:v>Eagle Systems Company</c:v>
                </c:pt>
                <c:pt idx="7">
                  <c:v>Falcon Industries Limited</c:v>
                </c:pt>
              </c:strCache>
            </c:strRef>
          </c:cat>
          <c:val>
            <c:numRef>
              <c:f>'Least Performing Vendors'!$B$4:$B$12</c:f>
              <c:numCache>
                <c:formatCode>General</c:formatCode>
                <c:ptCount val="8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61</c:v>
                </c:pt>
                <c:pt idx="5">
                  <c:v>55</c:v>
                </c:pt>
                <c:pt idx="6">
                  <c:v>51</c:v>
                </c:pt>
                <c:pt idx="7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5A-4EB1-9B5E-105B57FC024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970249536"/>
        <c:axId val="970251336"/>
      </c:radarChart>
      <c:catAx>
        <c:axId val="970249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050" b="0" i="0" strike="noStrike" kern="1200" baseline="0">
                <a:solidFill>
                  <a:schemeClr val="tx2">
                    <a:alpha val="60000"/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0251336"/>
        <c:crosses val="autoZero"/>
        <c:auto val="1"/>
        <c:lblAlgn val="ctr"/>
        <c:lblOffset val="100"/>
        <c:noMultiLvlLbl val="0"/>
      </c:catAx>
      <c:valAx>
        <c:axId val="9702513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crossAx val="970249536"/>
        <c:crosses val="autoZero"/>
        <c:crossBetween val="between"/>
      </c:valAx>
    </c:plotArea>
    <c:plotVisOnly val="1"/>
    <c:dispBlanksAs val="gap"/>
    <c:showDLblsOverMax val="1"/>
  </c:chart>
  <c:spPr>
    <a:solidFill>
      <a:srgbClr val="CCDCE8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1"/>
  <c:style val="2"/>
  <c:pivotSource>
    <c:name>[TOP 50 VENDORS.xlsx]Overall Performance Status!PivotTable11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rgbClr val="385F7C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Overall Performance Status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ivotFmts>
      <c:pivotFmt>
        <c:idx val="0"/>
        <c:spPr>
          <a:solidFill>
            <a:srgbClr val="385F7C"/>
          </a:solidFill>
          <a:ln>
            <a:noFill/>
            <a:prstDash val="solid"/>
          </a:ln>
        </c:spPr>
        <c:marker>
          <c:symbol val="none"/>
        </c:marker>
        <c:dLbl>
          <c:idx val="0"/>
          <c:spPr>
            <a:noFill/>
            <a:ln>
              <a:noFill/>
              <a:prstDash val="solid"/>
            </a:ln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strike="noStrike" kern="1200" baseline="0">
                  <a:solidFill>
                    <a:srgbClr val="385F7C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'Overall Performance Status'!$B$3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385F7C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strike="noStrike" kern="1200" baseline="0">
                    <a:solidFill>
                      <a:srgbClr val="385F7C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'Overall Performance Status'!$A$4:$A$6</c:f>
              <c:strCache>
                <c:ptCount val="3"/>
                <c:pt idx="0">
                  <c:v>Low Performance</c:v>
                </c:pt>
                <c:pt idx="1">
                  <c:v>Average Performance</c:v>
                </c:pt>
                <c:pt idx="2">
                  <c:v>High Performance</c:v>
                </c:pt>
              </c:strCache>
            </c:strRef>
          </c:cat>
          <c:val>
            <c:numRef>
              <c:f>'Overall Performance Status'!$B$4:$B$6</c:f>
              <c:numCache>
                <c:formatCode>General</c:formatCode>
                <c:ptCount val="3"/>
                <c:pt idx="0">
                  <c:v>4</c:v>
                </c:pt>
                <c:pt idx="1">
                  <c:v>51</c:v>
                </c:pt>
                <c:pt idx="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11-4A14-83BB-9D4ED341EDC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75"/>
        <c:overlap val="2"/>
        <c:axId val="413867152"/>
        <c:axId val="413868232"/>
      </c:barChart>
      <c:catAx>
        <c:axId val="4138671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rgbClr val="385F7C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868232"/>
        <c:crosses val="autoZero"/>
        <c:auto val="1"/>
        <c:lblAlgn val="ctr"/>
        <c:lblOffset val="100"/>
        <c:noMultiLvlLbl val="0"/>
      </c:catAx>
      <c:valAx>
        <c:axId val="41386823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13867152"/>
        <c:crosses val="autoZero"/>
        <c:crossBetween val="between"/>
      </c:valAx>
    </c:plotArea>
    <c:plotVisOnly val="1"/>
    <c:dispBlanksAs val="gap"/>
    <c:showDLblsOverMax val="1"/>
  </c:chart>
  <c:spPr>
    <a:solidFill>
      <a:srgbClr val="F8F9FA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rPr lang="en-US"/>
              <a:t>None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'Cleaned Vendor ESG Data'!$M$5</c:f>
              <c:strCache>
                <c:ptCount val="1"/>
                <c:pt idx="0">
                  <c:v>Column2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DC6-4C82-8DA2-CD1224643A9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DC6-4C82-8DA2-CD1224643A9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DC6-4C82-8DA2-CD1224643A9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ADC6-4C82-8DA2-CD1224643A9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ADC6-4C82-8DA2-CD1224643A97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'Cleaned Vendor ESG Data'!$L$6:$L$10</c:f>
              <c:strCache>
                <c:ptCount val="5"/>
                <c:pt idx="1">
                  <c:v>Summary Description</c:v>
                </c:pt>
                <c:pt idx="2">
                  <c:v>Vendor Count</c:v>
                </c:pt>
                <c:pt idx="3">
                  <c:v>Pending Assessment</c:v>
                </c:pt>
                <c:pt idx="4">
                  <c:v>Global Average ESG score</c:v>
                </c:pt>
              </c:strCache>
            </c:strRef>
          </c:cat>
          <c:val>
            <c:numRef>
              <c:f>'Cleaned Vendor ESG Data'!$M$6:$M$10</c:f>
              <c:numCache>
                <c:formatCode>General</c:formatCode>
                <c:ptCount val="5"/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 formatCode="0">
                  <c:v>76.901639344262293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DC6-4C82-8DA2-CD1224643A9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553065</xdr:colOff>
      <xdr:row>2</xdr:row>
      <xdr:rowOff>92075</xdr:rowOff>
    </xdr:from>
    <xdr:to>
      <xdr:col>13</xdr:col>
      <xdr:colOff>481370</xdr:colOff>
      <xdr:row>19</xdr:row>
      <xdr:rowOff>92177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512097</xdr:colOff>
      <xdr:row>0</xdr:row>
      <xdr:rowOff>81936</xdr:rowOff>
    </xdr:from>
    <xdr:to>
      <xdr:col>15</xdr:col>
      <xdr:colOff>245806</xdr:colOff>
      <xdr:row>24</xdr:row>
      <xdr:rowOff>153630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583141</xdr:colOff>
      <xdr:row>1</xdr:row>
      <xdr:rowOff>164042</xdr:rowOff>
    </xdr:from>
    <xdr:to>
      <xdr:col>13</xdr:col>
      <xdr:colOff>463019</xdr:colOff>
      <xdr:row>18</xdr:row>
      <xdr:rowOff>145521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559283</xdr:colOff>
      <xdr:row>2</xdr:row>
      <xdr:rowOff>105659</xdr:rowOff>
    </xdr:from>
    <xdr:to>
      <xdr:col>10</xdr:col>
      <xdr:colOff>241622</xdr:colOff>
      <xdr:row>17</xdr:row>
      <xdr:rowOff>86609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501650</xdr:colOff>
      <xdr:row>1</xdr:row>
      <xdr:rowOff>82550</xdr:rowOff>
    </xdr:from>
    <xdr:to>
      <xdr:col>8</xdr:col>
      <xdr:colOff>219074</xdr:colOff>
      <xdr:row>12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78361</xdr:colOff>
      <xdr:row>14</xdr:row>
      <xdr:rowOff>19996</xdr:rowOff>
    </xdr:from>
    <xdr:to>
      <xdr:col>18</xdr:col>
      <xdr:colOff>597169</xdr:colOff>
      <xdr:row>27</xdr:row>
      <xdr:rowOff>128621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3" displayName="Table3" ref="L5:M10" totalsRowShown="0" headerRowDxfId="7">
  <autoFilter ref="L5:M10" xr:uid="{00000000-0009-0000-0100-000002000000}"/>
  <tableColumns count="2">
    <tableColumn id="1" xr3:uid="{00000000-0010-0000-0000-000001000000}" name="Column1" dataDxfId="6"/>
    <tableColumn id="2" xr3:uid="{00000000-0010-0000-0000-000002000000}" name="Column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5.xml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DC653"/>
  </sheetPr>
  <dimension ref="A1:B17"/>
  <sheetViews>
    <sheetView showGridLines="0" zoomScale="62" zoomScaleNormal="62" workbookViewId="0">
      <selection activeCell="P13" sqref="P13"/>
    </sheetView>
  </sheetViews>
  <sheetFormatPr defaultRowHeight="14.5" x14ac:dyDescent="0.35"/>
  <cols>
    <col min="1" max="1" width="40" bestFit="1" customWidth="1"/>
    <col min="2" max="2" width="28" bestFit="1" customWidth="1"/>
  </cols>
  <sheetData>
    <row r="1" spans="1:2" ht="28" customHeight="1" x14ac:dyDescent="0.35">
      <c r="A1" s="39" t="s">
        <v>0</v>
      </c>
      <c r="B1" s="40"/>
    </row>
    <row r="2" spans="1:2" x14ac:dyDescent="0.35">
      <c r="A2" s="40"/>
      <c r="B2" s="40"/>
    </row>
    <row r="3" spans="1:2" x14ac:dyDescent="0.35">
      <c r="A3" s="15" t="s">
        <v>1</v>
      </c>
      <c r="B3" s="16" t="s">
        <v>2</v>
      </c>
    </row>
    <row r="4" spans="1:2" x14ac:dyDescent="0.35">
      <c r="A4" s="15" t="s">
        <v>3</v>
      </c>
      <c r="B4" s="16" t="s">
        <v>4</v>
      </c>
    </row>
    <row r="5" spans="1:2" x14ac:dyDescent="0.35">
      <c r="A5" s="17"/>
      <c r="B5" s="17"/>
    </row>
    <row r="6" spans="1:2" x14ac:dyDescent="0.35">
      <c r="A6" s="15" t="s">
        <v>5</v>
      </c>
      <c r="B6" s="16" t="s">
        <v>6</v>
      </c>
    </row>
    <row r="7" spans="1:2" x14ac:dyDescent="0.35">
      <c r="A7" s="17" t="s">
        <v>7</v>
      </c>
      <c r="B7" s="17">
        <v>83</v>
      </c>
    </row>
    <row r="8" spans="1:2" x14ac:dyDescent="0.35">
      <c r="A8" s="18" t="s">
        <v>8</v>
      </c>
      <c r="B8" s="18">
        <v>83</v>
      </c>
    </row>
    <row r="9" spans="1:2" x14ac:dyDescent="0.35">
      <c r="A9" s="17" t="s">
        <v>9</v>
      </c>
      <c r="B9" s="17">
        <v>85</v>
      </c>
    </row>
    <row r="10" spans="1:2" x14ac:dyDescent="0.35">
      <c r="A10" s="18" t="s">
        <v>10</v>
      </c>
      <c r="B10" s="18">
        <v>85</v>
      </c>
    </row>
    <row r="11" spans="1:2" x14ac:dyDescent="0.35">
      <c r="A11" s="17" t="s">
        <v>11</v>
      </c>
      <c r="B11" s="17">
        <v>85</v>
      </c>
    </row>
    <row r="12" spans="1:2" x14ac:dyDescent="0.35">
      <c r="A12" s="18" t="s">
        <v>12</v>
      </c>
      <c r="B12" s="18">
        <v>85</v>
      </c>
    </row>
    <row r="13" spans="1:2" x14ac:dyDescent="0.35">
      <c r="A13" s="17" t="s">
        <v>13</v>
      </c>
      <c r="B13" s="17">
        <v>90</v>
      </c>
    </row>
    <row r="14" spans="1:2" x14ac:dyDescent="0.35">
      <c r="A14" s="18" t="s">
        <v>14</v>
      </c>
      <c r="B14" s="18">
        <v>90</v>
      </c>
    </row>
    <row r="15" spans="1:2" x14ac:dyDescent="0.35">
      <c r="A15" s="17" t="s">
        <v>15</v>
      </c>
      <c r="B15" s="17">
        <v>90</v>
      </c>
    </row>
    <row r="16" spans="1:2" x14ac:dyDescent="0.35">
      <c r="A16" s="18" t="s">
        <v>16</v>
      </c>
      <c r="B16" s="18">
        <v>90</v>
      </c>
    </row>
    <row r="17" spans="1:2" x14ac:dyDescent="0.35">
      <c r="A17" s="17" t="s">
        <v>17</v>
      </c>
      <c r="B17" s="17">
        <v>86.6</v>
      </c>
    </row>
  </sheetData>
  <mergeCells count="1">
    <mergeCell ref="A1:B2"/>
  </mergeCells>
  <conditionalFormatting pivot="1" sqref="B4">
    <cfRule type="top10" dxfId="5" priority="1" rank="10"/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63946"/>
  </sheetPr>
  <dimension ref="A1:D13"/>
  <sheetViews>
    <sheetView showGridLines="0" zoomScale="65" workbookViewId="0">
      <selection activeCell="B21" sqref="B21"/>
    </sheetView>
  </sheetViews>
  <sheetFormatPr defaultRowHeight="14.5" x14ac:dyDescent="0.35"/>
  <cols>
    <col min="1" max="1" width="41.36328125" bestFit="1" customWidth="1"/>
    <col min="2" max="2" width="29.90625" bestFit="1" customWidth="1"/>
    <col min="3" max="3" width="32" bestFit="1" customWidth="1"/>
    <col min="4" max="4" width="16" bestFit="1" customWidth="1"/>
    <col min="5" max="5" width="17.1796875" bestFit="1" customWidth="1"/>
    <col min="6" max="6" width="27.36328125" bestFit="1" customWidth="1"/>
    <col min="7" max="7" width="23.7265625" bestFit="1" customWidth="1"/>
    <col min="8" max="8" width="19.08984375" bestFit="1" customWidth="1"/>
    <col min="9" max="9" width="21.6328125" bestFit="1" customWidth="1"/>
    <col min="10" max="10" width="21.7265625" bestFit="1" customWidth="1"/>
    <col min="11" max="11" width="32.08984375" bestFit="1" customWidth="1"/>
    <col min="12" max="12" width="21.54296875" bestFit="1" customWidth="1"/>
    <col min="13" max="13" width="23.08984375" bestFit="1" customWidth="1"/>
    <col min="14" max="14" width="20.54296875" bestFit="1" customWidth="1"/>
    <col min="15" max="15" width="38.6328125" bestFit="1" customWidth="1"/>
    <col min="16" max="16" width="22.1796875" bestFit="1" customWidth="1"/>
    <col min="17" max="17" width="38.36328125" bestFit="1" customWidth="1"/>
    <col min="18" max="18" width="22.26953125" bestFit="1" customWidth="1"/>
    <col min="19" max="19" width="31.81640625" bestFit="1" customWidth="1"/>
    <col min="20" max="20" width="41.26953125" bestFit="1" customWidth="1"/>
    <col min="21" max="21" width="21.36328125" bestFit="1" customWidth="1"/>
    <col min="22" max="22" width="18.7265625" bestFit="1" customWidth="1"/>
    <col min="23" max="23" width="27.54296875" bestFit="1" customWidth="1"/>
    <col min="24" max="24" width="25.1796875" bestFit="1" customWidth="1"/>
    <col min="25" max="25" width="23" bestFit="1" customWidth="1"/>
    <col min="26" max="26" width="20.1796875" bestFit="1" customWidth="1"/>
    <col min="27" max="27" width="22.7265625" bestFit="1" customWidth="1"/>
    <col min="28" max="28" width="16.1796875" bestFit="1" customWidth="1"/>
    <col min="29" max="29" width="44.54296875" bestFit="1" customWidth="1"/>
    <col min="30" max="30" width="25.453125" bestFit="1" customWidth="1"/>
    <col min="31" max="31" width="40.7265625" bestFit="1" customWidth="1"/>
    <col min="32" max="32" width="24.7265625" bestFit="1" customWidth="1"/>
    <col min="33" max="33" width="20.1796875" bestFit="1" customWidth="1"/>
    <col min="34" max="34" width="20.36328125" bestFit="1" customWidth="1"/>
    <col min="35" max="35" width="13.36328125" bestFit="1" customWidth="1"/>
    <col min="36" max="36" width="22.453125" bestFit="1" customWidth="1"/>
    <col min="37" max="37" width="19.54296875" bestFit="1" customWidth="1"/>
    <col min="38" max="38" width="20.7265625" bestFit="1" customWidth="1"/>
    <col min="39" max="39" width="19.54296875" bestFit="1" customWidth="1"/>
    <col min="40" max="40" width="41.1796875" bestFit="1" customWidth="1"/>
    <col min="41" max="41" width="31.90625" bestFit="1" customWidth="1"/>
    <col min="42" max="42" width="10.7265625" bestFit="1" customWidth="1"/>
  </cols>
  <sheetData>
    <row r="1" spans="1:4" ht="28" customHeight="1" x14ac:dyDescent="0.35">
      <c r="A1" s="41" t="s">
        <v>18</v>
      </c>
      <c r="B1" s="40"/>
      <c r="C1" s="40"/>
      <c r="D1" s="40"/>
    </row>
    <row r="2" spans="1:4" x14ac:dyDescent="0.35">
      <c r="A2" s="40"/>
      <c r="B2" s="40"/>
      <c r="C2" s="40"/>
      <c r="D2" s="40"/>
    </row>
    <row r="3" spans="1:4" x14ac:dyDescent="0.35">
      <c r="A3" s="19" t="s">
        <v>1</v>
      </c>
      <c r="B3" s="17" t="s">
        <v>2</v>
      </c>
      <c r="C3" s="17"/>
      <c r="D3" s="17"/>
    </row>
    <row r="4" spans="1:4" x14ac:dyDescent="0.35">
      <c r="A4" s="18"/>
      <c r="B4" s="18"/>
      <c r="C4" s="18"/>
      <c r="D4" s="18"/>
    </row>
    <row r="5" spans="1:4" ht="78" x14ac:dyDescent="0.35">
      <c r="A5" s="20" t="s">
        <v>19</v>
      </c>
      <c r="B5" s="20" t="s">
        <v>20</v>
      </c>
      <c r="C5" s="20" t="s">
        <v>21</v>
      </c>
      <c r="D5" s="21" t="s">
        <v>22</v>
      </c>
    </row>
    <row r="6" spans="1:4" x14ac:dyDescent="0.35">
      <c r="A6" s="18" t="s">
        <v>23</v>
      </c>
      <c r="B6" s="18" t="s">
        <v>24</v>
      </c>
      <c r="C6" s="18" t="s">
        <v>25</v>
      </c>
      <c r="D6" s="18">
        <v>51</v>
      </c>
    </row>
    <row r="7" spans="1:4" x14ac:dyDescent="0.35">
      <c r="A7" s="17" t="s">
        <v>26</v>
      </c>
      <c r="B7" s="17" t="s">
        <v>27</v>
      </c>
      <c r="C7" s="17" t="s">
        <v>28</v>
      </c>
      <c r="D7" s="17">
        <v>51</v>
      </c>
    </row>
    <row r="8" spans="1:4" x14ac:dyDescent="0.35">
      <c r="A8" s="18" t="s">
        <v>29</v>
      </c>
      <c r="B8" s="18" t="s">
        <v>30</v>
      </c>
      <c r="C8" s="18" t="s">
        <v>31</v>
      </c>
      <c r="D8" s="18">
        <v>55</v>
      </c>
    </row>
    <row r="9" spans="1:4" ht="26" x14ac:dyDescent="0.35">
      <c r="A9" s="17" t="s">
        <v>32</v>
      </c>
      <c r="B9" s="17" t="s">
        <v>33</v>
      </c>
      <c r="C9" s="17" t="s">
        <v>34</v>
      </c>
      <c r="D9" s="17">
        <v>61</v>
      </c>
    </row>
    <row r="10" spans="1:4" ht="26" x14ac:dyDescent="0.35">
      <c r="A10" s="18" t="s">
        <v>35</v>
      </c>
      <c r="B10" s="18" t="s">
        <v>36</v>
      </c>
      <c r="C10" s="18" t="s">
        <v>37</v>
      </c>
      <c r="D10" s="18">
        <v>65</v>
      </c>
    </row>
    <row r="11" spans="1:4" ht="26" x14ac:dyDescent="0.35">
      <c r="A11" s="17" t="s">
        <v>38</v>
      </c>
      <c r="B11" s="17" t="s">
        <v>39</v>
      </c>
      <c r="C11" s="17" t="s">
        <v>40</v>
      </c>
      <c r="D11" s="17">
        <v>65</v>
      </c>
    </row>
    <row r="12" spans="1:4" x14ac:dyDescent="0.35">
      <c r="A12" s="18" t="s">
        <v>41</v>
      </c>
      <c r="B12" s="18" t="s">
        <v>42</v>
      </c>
      <c r="C12" s="18" t="s">
        <v>43</v>
      </c>
      <c r="D12" s="18">
        <v>65</v>
      </c>
    </row>
    <row r="13" spans="1:4" x14ac:dyDescent="0.35">
      <c r="A13" s="17" t="s">
        <v>44</v>
      </c>
      <c r="B13" s="17" t="s">
        <v>27</v>
      </c>
      <c r="C13" s="17" t="s">
        <v>45</v>
      </c>
      <c r="D13" s="17">
        <v>65</v>
      </c>
    </row>
  </sheetData>
  <mergeCells count="1">
    <mergeCell ref="A1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C4B6"/>
  </sheetPr>
  <dimension ref="A1:E90"/>
  <sheetViews>
    <sheetView showGridLines="0" zoomScale="48" workbookViewId="0">
      <selection activeCell="I26" sqref="I26"/>
    </sheetView>
  </sheetViews>
  <sheetFormatPr defaultRowHeight="14.5" x14ac:dyDescent="0.35"/>
  <cols>
    <col min="1" max="1" width="38" bestFit="1" customWidth="1"/>
    <col min="2" max="2" width="25.26953125" bestFit="1" customWidth="1"/>
    <col min="3" max="3" width="24.90625" bestFit="1" customWidth="1"/>
    <col min="4" max="4" width="28" customWidth="1"/>
    <col min="5" max="5" width="8" customWidth="1"/>
  </cols>
  <sheetData>
    <row r="1" spans="1:5" ht="28" customHeight="1" x14ac:dyDescent="0.35">
      <c r="A1" s="42" t="s">
        <v>46</v>
      </c>
      <c r="B1" s="40"/>
      <c r="C1" s="40"/>
      <c r="D1" s="40"/>
      <c r="E1" s="40"/>
    </row>
    <row r="2" spans="1:5" x14ac:dyDescent="0.35">
      <c r="A2" s="40"/>
      <c r="B2" s="40"/>
      <c r="C2" s="40"/>
      <c r="D2" s="40"/>
      <c r="E2" s="40"/>
    </row>
    <row r="3" spans="1:5" x14ac:dyDescent="0.35">
      <c r="A3" s="17"/>
      <c r="B3" s="17"/>
      <c r="C3" s="17"/>
      <c r="D3" s="17"/>
      <c r="E3" s="17"/>
    </row>
    <row r="4" spans="1:5" x14ac:dyDescent="0.35">
      <c r="A4" s="18"/>
      <c r="B4" s="18"/>
      <c r="C4" s="18"/>
      <c r="D4" s="18"/>
      <c r="E4" s="18"/>
    </row>
    <row r="5" spans="1:5" ht="26" x14ac:dyDescent="0.35">
      <c r="A5" s="15" t="s">
        <v>5</v>
      </c>
      <c r="B5" s="16" t="s">
        <v>47</v>
      </c>
      <c r="C5" s="16" t="s">
        <v>6</v>
      </c>
      <c r="D5" s="16"/>
      <c r="E5" s="16"/>
    </row>
    <row r="6" spans="1:5" x14ac:dyDescent="0.35">
      <c r="A6" s="18" t="s">
        <v>48</v>
      </c>
      <c r="B6" s="18">
        <v>4</v>
      </c>
      <c r="C6" s="18">
        <v>75</v>
      </c>
      <c r="D6" s="18"/>
      <c r="E6" s="18"/>
    </row>
    <row r="7" spans="1:5" x14ac:dyDescent="0.35">
      <c r="A7" s="17" t="s">
        <v>49</v>
      </c>
      <c r="B7" s="17">
        <v>4</v>
      </c>
      <c r="C7" s="17">
        <v>74</v>
      </c>
      <c r="D7" s="17"/>
      <c r="E7" s="17"/>
    </row>
    <row r="8" spans="1:5" x14ac:dyDescent="0.35">
      <c r="A8" s="18" t="s">
        <v>50</v>
      </c>
      <c r="B8" s="18">
        <v>3</v>
      </c>
      <c r="C8" s="22">
        <v>74.333333333333329</v>
      </c>
      <c r="D8" s="18"/>
      <c r="E8" s="18"/>
    </row>
    <row r="9" spans="1:5" x14ac:dyDescent="0.35">
      <c r="A9" s="17" t="s">
        <v>51</v>
      </c>
      <c r="B9" s="17">
        <v>3</v>
      </c>
      <c r="C9" s="17">
        <v>80</v>
      </c>
      <c r="D9" s="17"/>
      <c r="E9" s="17"/>
    </row>
    <row r="10" spans="1:5" x14ac:dyDescent="0.35">
      <c r="A10" s="18" t="s">
        <v>52</v>
      </c>
      <c r="B10" s="18">
        <v>3</v>
      </c>
      <c r="C10" s="22">
        <v>81.666666666666671</v>
      </c>
      <c r="D10" s="18"/>
      <c r="E10" s="18"/>
    </row>
    <row r="11" spans="1:5" x14ac:dyDescent="0.35">
      <c r="A11" s="17" t="s">
        <v>53</v>
      </c>
      <c r="B11" s="17">
        <v>2</v>
      </c>
      <c r="C11" s="23">
        <v>72.5</v>
      </c>
      <c r="D11" s="17"/>
      <c r="E11" s="17"/>
    </row>
    <row r="12" spans="1:5" x14ac:dyDescent="0.35">
      <c r="A12" s="18" t="s">
        <v>54</v>
      </c>
      <c r="B12" s="18">
        <v>2</v>
      </c>
      <c r="C12" s="18">
        <v>70</v>
      </c>
      <c r="D12" s="18"/>
      <c r="E12" s="18"/>
    </row>
    <row r="13" spans="1:5" x14ac:dyDescent="0.35">
      <c r="A13" s="17" t="s">
        <v>55</v>
      </c>
      <c r="B13" s="17">
        <v>2</v>
      </c>
      <c r="C13" s="17">
        <v>80</v>
      </c>
      <c r="D13" s="17"/>
      <c r="E13" s="17"/>
    </row>
    <row r="14" spans="1:5" x14ac:dyDescent="0.35">
      <c r="A14" s="18" t="s">
        <v>56</v>
      </c>
      <c r="B14" s="18">
        <v>2</v>
      </c>
      <c r="C14" s="18">
        <v>75</v>
      </c>
      <c r="D14" s="18"/>
      <c r="E14" s="18"/>
    </row>
    <row r="15" spans="1:5" x14ac:dyDescent="0.35">
      <c r="A15" s="17" t="s">
        <v>57</v>
      </c>
      <c r="B15" s="17">
        <v>2</v>
      </c>
      <c r="C15" s="17">
        <v>78</v>
      </c>
      <c r="D15" s="17"/>
      <c r="E15" s="17"/>
    </row>
    <row r="16" spans="1:5" x14ac:dyDescent="0.35">
      <c r="A16" s="18" t="s">
        <v>58</v>
      </c>
      <c r="B16" s="18">
        <v>2</v>
      </c>
      <c r="C16" s="18">
        <v>70</v>
      </c>
      <c r="D16" s="18"/>
      <c r="E16" s="18"/>
    </row>
    <row r="17" spans="1:5" x14ac:dyDescent="0.35">
      <c r="A17" s="17" t="s">
        <v>59</v>
      </c>
      <c r="B17" s="17">
        <v>2</v>
      </c>
      <c r="C17" s="17">
        <v>80</v>
      </c>
      <c r="D17" s="17"/>
      <c r="E17" s="17"/>
    </row>
    <row r="18" spans="1:5" x14ac:dyDescent="0.35">
      <c r="A18" s="18" t="s">
        <v>60</v>
      </c>
      <c r="B18" s="18">
        <v>2</v>
      </c>
      <c r="C18" s="22">
        <v>77.5</v>
      </c>
      <c r="D18" s="18"/>
      <c r="E18" s="18"/>
    </row>
    <row r="19" spans="1:5" x14ac:dyDescent="0.35">
      <c r="A19" s="17" t="s">
        <v>61</v>
      </c>
      <c r="B19" s="17">
        <v>2</v>
      </c>
      <c r="C19" s="17">
        <v>75</v>
      </c>
      <c r="D19" s="17"/>
      <c r="E19" s="17"/>
    </row>
    <row r="20" spans="1:5" x14ac:dyDescent="0.35">
      <c r="A20" s="18" t="s">
        <v>17</v>
      </c>
      <c r="B20" s="18">
        <v>35</v>
      </c>
      <c r="C20" s="22">
        <v>76.029411764705884</v>
      </c>
      <c r="D20" s="18"/>
      <c r="E20" s="18"/>
    </row>
    <row r="21" spans="1:5" x14ac:dyDescent="0.35">
      <c r="A21" s="17"/>
      <c r="B21" s="17"/>
      <c r="C21" s="17"/>
      <c r="D21" s="17"/>
      <c r="E21" s="17"/>
    </row>
    <row r="22" spans="1:5" x14ac:dyDescent="0.35">
      <c r="A22" s="18"/>
      <c r="B22" s="18"/>
      <c r="C22" s="18"/>
      <c r="D22" s="18"/>
      <c r="E22" s="18"/>
    </row>
    <row r="23" spans="1:5" x14ac:dyDescent="0.35">
      <c r="A23" s="17"/>
      <c r="B23" s="17"/>
      <c r="C23" s="17"/>
      <c r="D23" s="17"/>
      <c r="E23" s="17"/>
    </row>
    <row r="24" spans="1:5" x14ac:dyDescent="0.35">
      <c r="A24" s="18"/>
      <c r="B24" s="18"/>
      <c r="C24" s="18"/>
      <c r="D24" s="18"/>
      <c r="E24" s="18"/>
    </row>
    <row r="25" spans="1:5" x14ac:dyDescent="0.35">
      <c r="A25" s="17"/>
      <c r="B25" s="17"/>
      <c r="C25" s="17"/>
      <c r="D25" s="17"/>
      <c r="E25" s="17"/>
    </row>
    <row r="26" spans="1:5" x14ac:dyDescent="0.35">
      <c r="A26" s="18"/>
      <c r="B26" s="18"/>
      <c r="C26" s="18"/>
      <c r="D26" s="18"/>
      <c r="E26" s="18"/>
    </row>
    <row r="27" spans="1:5" x14ac:dyDescent="0.35">
      <c r="A27" s="17"/>
      <c r="B27" s="17"/>
      <c r="C27" s="17"/>
      <c r="D27" s="17"/>
      <c r="E27" s="17"/>
    </row>
    <row r="28" spans="1:5" x14ac:dyDescent="0.35">
      <c r="A28" s="18"/>
      <c r="B28" s="18"/>
      <c r="C28" s="18"/>
      <c r="D28" s="18"/>
      <c r="E28" s="18"/>
    </row>
    <row r="29" spans="1:5" x14ac:dyDescent="0.35">
      <c r="A29" s="17"/>
      <c r="B29" s="17"/>
      <c r="C29" s="17"/>
      <c r="D29" s="17"/>
      <c r="E29" s="17"/>
    </row>
    <row r="30" spans="1:5" x14ac:dyDescent="0.35">
      <c r="A30" s="18"/>
      <c r="B30" s="18"/>
      <c r="C30" s="18"/>
      <c r="D30" s="18"/>
      <c r="E30" s="18"/>
    </row>
    <row r="31" spans="1:5" x14ac:dyDescent="0.35">
      <c r="A31" s="17"/>
      <c r="B31" s="17"/>
      <c r="C31" s="17"/>
      <c r="D31" s="17"/>
      <c r="E31" s="17"/>
    </row>
    <row r="32" spans="1:5" x14ac:dyDescent="0.35">
      <c r="A32" s="18"/>
      <c r="B32" s="18"/>
      <c r="C32" s="18"/>
      <c r="D32" s="18"/>
      <c r="E32" s="18"/>
    </row>
    <row r="33" spans="1:5" x14ac:dyDescent="0.35">
      <c r="A33" s="17"/>
      <c r="B33" s="17"/>
      <c r="C33" s="17"/>
      <c r="D33" s="17"/>
      <c r="E33" s="17"/>
    </row>
    <row r="34" spans="1:5" x14ac:dyDescent="0.35">
      <c r="A34" s="18"/>
      <c r="B34" s="18"/>
      <c r="C34" s="18"/>
      <c r="D34" s="18"/>
      <c r="E34" s="18"/>
    </row>
    <row r="35" spans="1:5" x14ac:dyDescent="0.35">
      <c r="A35" s="17"/>
      <c r="B35" s="17"/>
      <c r="C35" s="17"/>
      <c r="D35" s="17"/>
      <c r="E35" s="17"/>
    </row>
    <row r="36" spans="1:5" x14ac:dyDescent="0.35">
      <c r="A36" s="18"/>
      <c r="B36" s="18"/>
      <c r="C36" s="18"/>
      <c r="D36" s="18"/>
      <c r="E36" s="18"/>
    </row>
    <row r="37" spans="1:5" x14ac:dyDescent="0.35">
      <c r="A37" s="17"/>
      <c r="B37" s="17"/>
      <c r="C37" s="17"/>
      <c r="D37" s="17"/>
      <c r="E37" s="17"/>
    </row>
    <row r="38" spans="1:5" x14ac:dyDescent="0.35">
      <c r="A38" s="18"/>
      <c r="B38" s="18"/>
      <c r="C38" s="18"/>
      <c r="D38" s="18"/>
      <c r="E38" s="18"/>
    </row>
    <row r="39" spans="1:5" x14ac:dyDescent="0.35">
      <c r="A39" s="17"/>
      <c r="B39" s="17"/>
      <c r="C39" s="17"/>
      <c r="D39" s="17"/>
      <c r="E39" s="17"/>
    </row>
    <row r="40" spans="1:5" x14ac:dyDescent="0.35">
      <c r="A40" s="18"/>
      <c r="B40" s="18"/>
      <c r="C40" s="18"/>
      <c r="D40" s="18"/>
      <c r="E40" s="18"/>
    </row>
    <row r="41" spans="1:5" x14ac:dyDescent="0.35">
      <c r="A41" s="17"/>
      <c r="B41" s="17"/>
      <c r="C41" s="17"/>
      <c r="D41" s="17"/>
      <c r="E41" s="17"/>
    </row>
    <row r="42" spans="1:5" x14ac:dyDescent="0.35">
      <c r="A42" s="18"/>
      <c r="B42" s="18"/>
      <c r="C42" s="18"/>
      <c r="D42" s="18"/>
      <c r="E42" s="18"/>
    </row>
    <row r="43" spans="1:5" x14ac:dyDescent="0.35">
      <c r="A43" s="17"/>
      <c r="B43" s="17"/>
      <c r="C43" s="17"/>
      <c r="D43" s="17"/>
      <c r="E43" s="17"/>
    </row>
    <row r="44" spans="1:5" x14ac:dyDescent="0.35">
      <c r="A44" s="18"/>
      <c r="B44" s="18"/>
      <c r="C44" s="18"/>
      <c r="D44" s="18"/>
      <c r="E44" s="18"/>
    </row>
    <row r="45" spans="1:5" ht="65" x14ac:dyDescent="0.35">
      <c r="A45" s="17"/>
      <c r="B45" s="17"/>
      <c r="C45" s="17"/>
      <c r="D45" s="17" t="s">
        <v>5</v>
      </c>
      <c r="E45" s="17" t="s">
        <v>47</v>
      </c>
    </row>
    <row r="46" spans="1:5" x14ac:dyDescent="0.35">
      <c r="A46" s="18"/>
      <c r="B46" s="18"/>
      <c r="C46" s="18"/>
      <c r="D46" s="18" t="s">
        <v>62</v>
      </c>
      <c r="E46" s="18">
        <v>1</v>
      </c>
    </row>
    <row r="47" spans="1:5" ht="26" x14ac:dyDescent="0.35">
      <c r="A47" s="17"/>
      <c r="B47" s="17"/>
      <c r="C47" s="17"/>
      <c r="D47" s="17" t="s">
        <v>63</v>
      </c>
      <c r="E47" s="17">
        <v>1</v>
      </c>
    </row>
    <row r="48" spans="1:5" x14ac:dyDescent="0.35">
      <c r="A48" s="18"/>
      <c r="B48" s="18"/>
      <c r="C48" s="18"/>
      <c r="D48" s="18" t="s">
        <v>64</v>
      </c>
      <c r="E48" s="18">
        <v>1</v>
      </c>
    </row>
    <row r="49" spans="1:5" x14ac:dyDescent="0.35">
      <c r="A49" s="17"/>
      <c r="B49" s="17"/>
      <c r="C49" s="17"/>
      <c r="D49" s="17" t="s">
        <v>65</v>
      </c>
      <c r="E49" s="17">
        <v>1</v>
      </c>
    </row>
    <row r="50" spans="1:5" x14ac:dyDescent="0.35">
      <c r="A50" s="18"/>
      <c r="B50" s="18"/>
      <c r="C50" s="18"/>
      <c r="D50" s="18" t="s">
        <v>49</v>
      </c>
      <c r="E50" s="18">
        <v>4</v>
      </c>
    </row>
    <row r="51" spans="1:5" x14ac:dyDescent="0.35">
      <c r="A51" s="17"/>
      <c r="B51" s="17"/>
      <c r="C51" s="17"/>
      <c r="D51" s="17" t="s">
        <v>51</v>
      </c>
      <c r="E51" s="17">
        <v>3</v>
      </c>
    </row>
    <row r="52" spans="1:5" x14ac:dyDescent="0.35">
      <c r="A52" s="18"/>
      <c r="B52" s="18"/>
      <c r="C52" s="18"/>
      <c r="D52" s="18" t="s">
        <v>66</v>
      </c>
      <c r="E52" s="18">
        <v>1</v>
      </c>
    </row>
    <row r="53" spans="1:5" ht="26" x14ac:dyDescent="0.35">
      <c r="A53" s="17"/>
      <c r="B53" s="17"/>
      <c r="C53" s="17"/>
      <c r="D53" s="17" t="s">
        <v>50</v>
      </c>
      <c r="E53" s="17">
        <v>3</v>
      </c>
    </row>
    <row r="54" spans="1:5" x14ac:dyDescent="0.35">
      <c r="A54" s="18"/>
      <c r="B54" s="18"/>
      <c r="C54" s="18"/>
      <c r="D54" s="18" t="s">
        <v>52</v>
      </c>
      <c r="E54" s="18">
        <v>3</v>
      </c>
    </row>
    <row r="55" spans="1:5" x14ac:dyDescent="0.35">
      <c r="A55" s="17"/>
      <c r="B55" s="17"/>
      <c r="C55" s="17"/>
      <c r="D55" s="17" t="s">
        <v>67</v>
      </c>
      <c r="E55" s="17">
        <v>1</v>
      </c>
    </row>
    <row r="56" spans="1:5" x14ac:dyDescent="0.35">
      <c r="A56" s="18"/>
      <c r="B56" s="18"/>
      <c r="C56" s="18"/>
      <c r="D56" s="18" t="s">
        <v>55</v>
      </c>
      <c r="E56" s="18">
        <v>2</v>
      </c>
    </row>
    <row r="57" spans="1:5" x14ac:dyDescent="0.35">
      <c r="A57" s="17"/>
      <c r="B57" s="17"/>
      <c r="C57" s="17"/>
      <c r="D57" s="17" t="s">
        <v>68</v>
      </c>
      <c r="E57" s="17">
        <v>1</v>
      </c>
    </row>
    <row r="58" spans="1:5" ht="26" x14ac:dyDescent="0.35">
      <c r="A58" s="18"/>
      <c r="B58" s="18"/>
      <c r="C58" s="18"/>
      <c r="D58" s="18" t="s">
        <v>69</v>
      </c>
      <c r="E58" s="18">
        <v>1</v>
      </c>
    </row>
    <row r="59" spans="1:5" ht="26" x14ac:dyDescent="0.35">
      <c r="A59" s="17"/>
      <c r="B59" s="17"/>
      <c r="C59" s="17"/>
      <c r="D59" s="17" t="s">
        <v>70</v>
      </c>
      <c r="E59" s="17">
        <v>1</v>
      </c>
    </row>
    <row r="60" spans="1:5" x14ac:dyDescent="0.35">
      <c r="A60" s="18"/>
      <c r="B60" s="18"/>
      <c r="C60" s="18"/>
      <c r="D60" s="18" t="s">
        <v>71</v>
      </c>
      <c r="E60" s="18">
        <v>1</v>
      </c>
    </row>
    <row r="61" spans="1:5" x14ac:dyDescent="0.35">
      <c r="A61" s="17"/>
      <c r="B61" s="17"/>
      <c r="C61" s="17"/>
      <c r="D61" s="17" t="s">
        <v>57</v>
      </c>
      <c r="E61" s="17">
        <v>2</v>
      </c>
    </row>
    <row r="62" spans="1:5" ht="26" x14ac:dyDescent="0.35">
      <c r="A62" s="18"/>
      <c r="B62" s="18"/>
      <c r="C62" s="18"/>
      <c r="D62" s="18" t="s">
        <v>72</v>
      </c>
      <c r="E62" s="18">
        <v>1</v>
      </c>
    </row>
    <row r="63" spans="1:5" x14ac:dyDescent="0.35">
      <c r="A63" s="17"/>
      <c r="B63" s="17"/>
      <c r="C63" s="17"/>
      <c r="D63" s="17" t="s">
        <v>61</v>
      </c>
      <c r="E63" s="17">
        <v>2</v>
      </c>
    </row>
    <row r="64" spans="1:5" x14ac:dyDescent="0.35">
      <c r="A64" s="18"/>
      <c r="B64" s="18"/>
      <c r="C64" s="18"/>
      <c r="D64" s="18" t="s">
        <v>60</v>
      </c>
      <c r="E64" s="18">
        <v>2</v>
      </c>
    </row>
    <row r="65" spans="1:5" ht="26" x14ac:dyDescent="0.35">
      <c r="A65" s="17"/>
      <c r="B65" s="17"/>
      <c r="C65" s="17"/>
      <c r="D65" s="17" t="s">
        <v>73</v>
      </c>
      <c r="E65" s="17">
        <v>1</v>
      </c>
    </row>
    <row r="66" spans="1:5" x14ac:dyDescent="0.35">
      <c r="A66" s="18"/>
      <c r="B66" s="18"/>
      <c r="C66" s="18"/>
      <c r="D66" s="18" t="s">
        <v>54</v>
      </c>
      <c r="E66" s="18">
        <v>2</v>
      </c>
    </row>
    <row r="67" spans="1:5" x14ac:dyDescent="0.35">
      <c r="A67" s="17"/>
      <c r="B67" s="17"/>
      <c r="C67" s="17"/>
      <c r="D67" s="17" t="s">
        <v>74</v>
      </c>
      <c r="E67" s="17">
        <v>1</v>
      </c>
    </row>
    <row r="68" spans="1:5" x14ac:dyDescent="0.35">
      <c r="A68" s="18"/>
      <c r="B68" s="18"/>
      <c r="C68" s="18"/>
      <c r="D68" s="18" t="s">
        <v>48</v>
      </c>
      <c r="E68" s="18">
        <v>4</v>
      </c>
    </row>
    <row r="69" spans="1:5" x14ac:dyDescent="0.35">
      <c r="A69" s="17"/>
      <c r="B69" s="17"/>
      <c r="C69" s="17"/>
      <c r="D69" s="17" t="s">
        <v>75</v>
      </c>
      <c r="E69" s="17">
        <v>1</v>
      </c>
    </row>
    <row r="70" spans="1:5" x14ac:dyDescent="0.35">
      <c r="A70" s="18"/>
      <c r="B70" s="18"/>
      <c r="C70" s="18"/>
      <c r="D70" s="18" t="s">
        <v>76</v>
      </c>
      <c r="E70" s="18">
        <v>1</v>
      </c>
    </row>
    <row r="71" spans="1:5" ht="26" x14ac:dyDescent="0.35">
      <c r="A71" s="17"/>
      <c r="B71" s="17"/>
      <c r="C71" s="17"/>
      <c r="D71" s="17" t="s">
        <v>56</v>
      </c>
      <c r="E71" s="17">
        <v>2</v>
      </c>
    </row>
    <row r="72" spans="1:5" x14ac:dyDescent="0.35">
      <c r="A72" s="18"/>
      <c r="B72" s="18"/>
      <c r="C72" s="18"/>
      <c r="D72" s="18" t="s">
        <v>53</v>
      </c>
      <c r="E72" s="18">
        <v>2</v>
      </c>
    </row>
    <row r="73" spans="1:5" x14ac:dyDescent="0.35">
      <c r="A73" s="17"/>
      <c r="B73" s="17"/>
      <c r="C73" s="17"/>
      <c r="D73" s="17" t="s">
        <v>77</v>
      </c>
      <c r="E73" s="17">
        <v>1</v>
      </c>
    </row>
    <row r="74" spans="1:5" x14ac:dyDescent="0.35">
      <c r="A74" s="18"/>
      <c r="B74" s="18"/>
      <c r="C74" s="18"/>
      <c r="D74" s="18" t="s">
        <v>78</v>
      </c>
      <c r="E74" s="18">
        <v>1</v>
      </c>
    </row>
    <row r="75" spans="1:5" x14ac:dyDescent="0.35">
      <c r="A75" s="17"/>
      <c r="B75" s="17"/>
      <c r="C75" s="17"/>
      <c r="D75" s="17" t="s">
        <v>79</v>
      </c>
      <c r="E75" s="17">
        <v>1</v>
      </c>
    </row>
    <row r="76" spans="1:5" x14ac:dyDescent="0.35">
      <c r="A76" s="18"/>
      <c r="B76" s="18"/>
      <c r="C76" s="18"/>
      <c r="D76" s="18" t="s">
        <v>80</v>
      </c>
      <c r="E76" s="18">
        <v>1</v>
      </c>
    </row>
    <row r="77" spans="1:5" x14ac:dyDescent="0.35">
      <c r="A77" s="17"/>
      <c r="B77" s="17"/>
      <c r="C77" s="17"/>
      <c r="D77" s="17" t="s">
        <v>81</v>
      </c>
      <c r="E77" s="17">
        <v>1</v>
      </c>
    </row>
    <row r="78" spans="1:5" x14ac:dyDescent="0.35">
      <c r="A78" s="18"/>
      <c r="B78" s="18"/>
      <c r="C78" s="18"/>
      <c r="D78" s="18" t="s">
        <v>82</v>
      </c>
      <c r="E78" s="18">
        <v>1</v>
      </c>
    </row>
    <row r="79" spans="1:5" x14ac:dyDescent="0.35">
      <c r="A79" s="17"/>
      <c r="B79" s="17"/>
      <c r="C79" s="17"/>
      <c r="D79" s="17" t="s">
        <v>83</v>
      </c>
      <c r="E79" s="17">
        <v>1</v>
      </c>
    </row>
    <row r="80" spans="1:5" x14ac:dyDescent="0.35">
      <c r="A80" s="18"/>
      <c r="B80" s="18"/>
      <c r="C80" s="18"/>
      <c r="D80" s="18" t="s">
        <v>58</v>
      </c>
      <c r="E80" s="18">
        <v>2</v>
      </c>
    </row>
    <row r="81" spans="1:5" x14ac:dyDescent="0.35">
      <c r="A81" s="17"/>
      <c r="B81" s="17"/>
      <c r="C81" s="17"/>
      <c r="D81" s="17" t="s">
        <v>84</v>
      </c>
      <c r="E81" s="17">
        <v>1</v>
      </c>
    </row>
    <row r="82" spans="1:5" ht="26" x14ac:dyDescent="0.35">
      <c r="A82" s="18"/>
      <c r="B82" s="18"/>
      <c r="C82" s="18"/>
      <c r="D82" s="18" t="s">
        <v>85</v>
      </c>
      <c r="E82" s="18">
        <v>1</v>
      </c>
    </row>
    <row r="83" spans="1:5" ht="26" x14ac:dyDescent="0.35">
      <c r="A83" s="17"/>
      <c r="B83" s="17"/>
      <c r="C83" s="17"/>
      <c r="D83" s="17" t="s">
        <v>86</v>
      </c>
      <c r="E83" s="17">
        <v>1</v>
      </c>
    </row>
    <row r="84" spans="1:5" ht="26" x14ac:dyDescent="0.35">
      <c r="A84" s="18"/>
      <c r="B84" s="18"/>
      <c r="C84" s="18"/>
      <c r="D84" s="18" t="s">
        <v>87</v>
      </c>
      <c r="E84" s="18">
        <v>1</v>
      </c>
    </row>
    <row r="85" spans="1:5" x14ac:dyDescent="0.35">
      <c r="A85" s="17"/>
      <c r="B85" s="17"/>
      <c r="C85" s="17"/>
      <c r="D85" s="17" t="s">
        <v>88</v>
      </c>
      <c r="E85" s="17">
        <v>1</v>
      </c>
    </row>
    <row r="86" spans="1:5" x14ac:dyDescent="0.35">
      <c r="A86" s="18"/>
      <c r="B86" s="18"/>
      <c r="C86" s="18"/>
      <c r="D86" s="18" t="s">
        <v>89</v>
      </c>
      <c r="E86" s="18">
        <v>1</v>
      </c>
    </row>
    <row r="87" spans="1:5" x14ac:dyDescent="0.35">
      <c r="A87" s="17"/>
      <c r="B87" s="17"/>
      <c r="C87" s="17"/>
      <c r="D87" s="17" t="s">
        <v>59</v>
      </c>
      <c r="E87" s="17">
        <v>2</v>
      </c>
    </row>
    <row r="88" spans="1:5" x14ac:dyDescent="0.35">
      <c r="A88" s="18"/>
      <c r="B88" s="18"/>
      <c r="C88" s="18"/>
      <c r="D88" s="18" t="s">
        <v>90</v>
      </c>
      <c r="E88" s="18">
        <v>1</v>
      </c>
    </row>
    <row r="89" spans="1:5" x14ac:dyDescent="0.35">
      <c r="A89" s="17"/>
      <c r="B89" s="17"/>
      <c r="C89" s="17"/>
      <c r="D89" s="17" t="s">
        <v>91</v>
      </c>
      <c r="E89" s="17">
        <v>1</v>
      </c>
    </row>
    <row r="90" spans="1:5" x14ac:dyDescent="0.35">
      <c r="A90" s="18"/>
      <c r="B90" s="18"/>
      <c r="C90" s="18"/>
      <c r="D90" s="18" t="s">
        <v>17</v>
      </c>
      <c r="E90" s="18">
        <v>65</v>
      </c>
    </row>
  </sheetData>
  <mergeCells count="1">
    <mergeCell ref="A1:E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63946"/>
  </sheetPr>
  <dimension ref="A1:B14"/>
  <sheetViews>
    <sheetView showGridLines="0" zoomScale="79" workbookViewId="0">
      <selection activeCell="C6" sqref="C6"/>
    </sheetView>
  </sheetViews>
  <sheetFormatPr defaultRowHeight="14.5" x14ac:dyDescent="0.35"/>
  <cols>
    <col min="1" max="1" width="40" bestFit="1" customWidth="1"/>
    <col min="2" max="2" width="20" bestFit="1" customWidth="1"/>
  </cols>
  <sheetData>
    <row r="1" spans="1:2" ht="28" customHeight="1" x14ac:dyDescent="0.35">
      <c r="A1" s="41" t="s">
        <v>92</v>
      </c>
      <c r="B1" s="40"/>
    </row>
    <row r="2" spans="1:2" x14ac:dyDescent="0.35">
      <c r="A2" s="40"/>
      <c r="B2" s="40"/>
    </row>
    <row r="3" spans="1:2" x14ac:dyDescent="0.35">
      <c r="A3" s="17"/>
      <c r="B3" s="17"/>
    </row>
    <row r="4" spans="1:2" x14ac:dyDescent="0.35">
      <c r="A4" s="18"/>
      <c r="B4" s="18"/>
    </row>
    <row r="5" spans="1:2" ht="65" x14ac:dyDescent="0.35">
      <c r="A5" s="20" t="s">
        <v>5</v>
      </c>
      <c r="B5" s="21" t="s">
        <v>22</v>
      </c>
    </row>
    <row r="6" spans="1:2" x14ac:dyDescent="0.35">
      <c r="A6" s="18" t="s">
        <v>43</v>
      </c>
      <c r="B6" s="18">
        <v>65</v>
      </c>
    </row>
    <row r="7" spans="1:2" x14ac:dyDescent="0.35">
      <c r="A7" s="17" t="s">
        <v>40</v>
      </c>
      <c r="B7" s="17">
        <v>65</v>
      </c>
    </row>
    <row r="8" spans="1:2" x14ac:dyDescent="0.35">
      <c r="A8" s="18" t="s">
        <v>45</v>
      </c>
      <c r="B8" s="18">
        <v>65</v>
      </c>
    </row>
    <row r="9" spans="1:2" x14ac:dyDescent="0.35">
      <c r="A9" s="17" t="s">
        <v>37</v>
      </c>
      <c r="B9" s="17">
        <v>65</v>
      </c>
    </row>
    <row r="10" spans="1:2" x14ac:dyDescent="0.35">
      <c r="A10" s="18" t="s">
        <v>34</v>
      </c>
      <c r="B10" s="18">
        <v>61</v>
      </c>
    </row>
    <row r="11" spans="1:2" x14ac:dyDescent="0.35">
      <c r="A11" s="17" t="s">
        <v>31</v>
      </c>
      <c r="B11" s="17">
        <v>55</v>
      </c>
    </row>
    <row r="12" spans="1:2" x14ac:dyDescent="0.35">
      <c r="A12" s="18" t="s">
        <v>25</v>
      </c>
      <c r="B12" s="18">
        <v>51</v>
      </c>
    </row>
    <row r="13" spans="1:2" x14ac:dyDescent="0.35">
      <c r="A13" s="17" t="s">
        <v>28</v>
      </c>
      <c r="B13" s="17">
        <v>51</v>
      </c>
    </row>
    <row r="14" spans="1:2" x14ac:dyDescent="0.35">
      <c r="A14" s="18" t="s">
        <v>17</v>
      </c>
      <c r="B14" s="18">
        <v>59.75</v>
      </c>
    </row>
  </sheetData>
  <mergeCells count="1">
    <mergeCell ref="A1:B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4A261"/>
  </sheetPr>
  <dimension ref="A1:B8"/>
  <sheetViews>
    <sheetView showGridLines="0" workbookViewId="0">
      <selection activeCell="A15" sqref="A15"/>
    </sheetView>
  </sheetViews>
  <sheetFormatPr defaultRowHeight="14.5" x14ac:dyDescent="0.35"/>
  <cols>
    <col min="1" max="1" width="28" bestFit="1" customWidth="1"/>
    <col min="2" max="2" width="20" bestFit="1" customWidth="1"/>
  </cols>
  <sheetData>
    <row r="1" spans="1:2" ht="28" customHeight="1" x14ac:dyDescent="0.35">
      <c r="A1" s="39" t="s">
        <v>93</v>
      </c>
      <c r="B1" s="40"/>
    </row>
    <row r="2" spans="1:2" x14ac:dyDescent="0.35">
      <c r="A2" s="40"/>
      <c r="B2" s="40"/>
    </row>
    <row r="3" spans="1:2" x14ac:dyDescent="0.35">
      <c r="A3" s="24"/>
      <c r="B3" s="24"/>
    </row>
    <row r="4" spans="1:2" x14ac:dyDescent="0.35">
      <c r="A4" s="25"/>
      <c r="B4" s="25"/>
    </row>
    <row r="5" spans="1:2" ht="26" x14ac:dyDescent="0.35">
      <c r="A5" s="26" t="s">
        <v>94</v>
      </c>
      <c r="B5" s="27" t="s">
        <v>95</v>
      </c>
    </row>
    <row r="6" spans="1:2" x14ac:dyDescent="0.35">
      <c r="A6" s="28" t="s">
        <v>96</v>
      </c>
      <c r="B6" s="25">
        <v>4</v>
      </c>
    </row>
    <row r="7" spans="1:2" x14ac:dyDescent="0.35">
      <c r="A7" s="29" t="s">
        <v>97</v>
      </c>
      <c r="B7" s="24">
        <v>51</v>
      </c>
    </row>
    <row r="8" spans="1:2" x14ac:dyDescent="0.35">
      <c r="A8" s="30" t="s">
        <v>98</v>
      </c>
      <c r="B8" s="25">
        <v>10</v>
      </c>
    </row>
  </sheetData>
  <mergeCells count="1">
    <mergeCell ref="A1:B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A3C5E"/>
  </sheetPr>
  <dimension ref="A1:M70"/>
  <sheetViews>
    <sheetView showGridLines="0" topLeftCell="E1" zoomScale="47" zoomScaleNormal="53" workbookViewId="0">
      <pane ySplit="3" topLeftCell="A4" activePane="bottomLeft" state="frozen"/>
      <selection pane="bottomLeft" activeCell="R7" sqref="R7"/>
    </sheetView>
  </sheetViews>
  <sheetFormatPr defaultColWidth="9.1796875" defaultRowHeight="13.5" x14ac:dyDescent="0.25"/>
  <cols>
    <col min="1" max="1" width="10" style="1" customWidth="1"/>
    <col min="2" max="2" width="32" style="1" customWidth="1"/>
    <col min="3" max="3" width="30" style="1" customWidth="1"/>
    <col min="4" max="4" width="90.6328125" style="12" bestFit="1" customWidth="1"/>
    <col min="5" max="5" width="76.08984375" style="12" bestFit="1" customWidth="1"/>
    <col min="6" max="6" width="28" style="1" bestFit="1" customWidth="1"/>
    <col min="7" max="7" width="60.26953125" style="1" bestFit="1" customWidth="1"/>
    <col min="8" max="8" width="24.453125" style="12" bestFit="1" customWidth="1"/>
    <col min="9" max="9" width="21.1796875" style="1" bestFit="1" customWidth="1"/>
    <col min="10" max="10" width="29.453125" style="1" bestFit="1" customWidth="1"/>
    <col min="11" max="11" width="5" style="1" customWidth="1"/>
    <col min="12" max="12" width="27.36328125" style="1" bestFit="1" customWidth="1"/>
    <col min="13" max="13" width="15.7265625" style="1" bestFit="1" customWidth="1"/>
    <col min="14" max="14" width="9.1796875" style="1" customWidth="1"/>
    <col min="15" max="16384" width="9.1796875" style="1"/>
  </cols>
  <sheetData>
    <row r="1" spans="1:13" s="2" customFormat="1" ht="32" customHeight="1" x14ac:dyDescent="0.3">
      <c r="A1" s="43" t="s">
        <v>99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</row>
    <row r="2" spans="1:13" s="3" customFormat="1" ht="6" customHeight="1" x14ac:dyDescent="0.25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</row>
    <row r="3" spans="1:13" s="4" customFormat="1" ht="16" customHeight="1" x14ac:dyDescent="0.25">
      <c r="A3" s="31" t="s">
        <v>100</v>
      </c>
      <c r="B3" s="31" t="s">
        <v>21</v>
      </c>
      <c r="C3" s="31" t="s">
        <v>3</v>
      </c>
      <c r="D3" s="31" t="s">
        <v>101</v>
      </c>
      <c r="E3" s="31" t="s">
        <v>103</v>
      </c>
      <c r="F3" s="31" t="s">
        <v>20</v>
      </c>
      <c r="G3" s="31" t="s">
        <v>19</v>
      </c>
      <c r="H3" s="31" t="s">
        <v>104</v>
      </c>
      <c r="I3" s="31" t="s">
        <v>1</v>
      </c>
      <c r="J3" s="31" t="s">
        <v>94</v>
      </c>
    </row>
    <row r="4" spans="1:13" s="7" customFormat="1" ht="16" customHeight="1" x14ac:dyDescent="0.4">
      <c r="A4" s="18" t="s">
        <v>105</v>
      </c>
      <c r="B4" s="18" t="s">
        <v>43</v>
      </c>
      <c r="C4" s="18" t="s">
        <v>50</v>
      </c>
      <c r="D4" s="18">
        <v>70</v>
      </c>
      <c r="E4" s="18">
        <v>65</v>
      </c>
      <c r="F4" s="18" t="s">
        <v>42</v>
      </c>
      <c r="G4" s="18" t="s">
        <v>41</v>
      </c>
      <c r="H4" s="32">
        <v>68</v>
      </c>
      <c r="I4" s="18" t="str">
        <f>IF(ISBLANK(#REF!),"Pending","Completed")</f>
        <v>Completed</v>
      </c>
      <c r="J4" s="33" t="str">
        <f>IF(H4&gt;80,"High Performance", IF(H4&lt;70,"Low Performance","Average Performance"))</f>
        <v>Low Performance</v>
      </c>
      <c r="K4" s="1"/>
      <c r="L4" s="46"/>
      <c r="M4" s="46"/>
    </row>
    <row r="5" spans="1:13" s="4" customFormat="1" ht="16" customHeight="1" x14ac:dyDescent="0.25">
      <c r="A5" s="17" t="s">
        <v>107</v>
      </c>
      <c r="B5" s="17" t="s">
        <v>31</v>
      </c>
      <c r="C5" s="17" t="s">
        <v>49</v>
      </c>
      <c r="D5" s="17">
        <v>75</v>
      </c>
      <c r="E5" s="17">
        <v>55</v>
      </c>
      <c r="F5" s="17" t="s">
        <v>30</v>
      </c>
      <c r="G5" s="17" t="s">
        <v>29</v>
      </c>
      <c r="H5" s="34">
        <v>60</v>
      </c>
      <c r="I5" s="17" t="str">
        <f>IF(ISBLANK(#REF!),"Pending","Completed")</f>
        <v>Completed</v>
      </c>
      <c r="J5" s="33" t="str">
        <f t="shared" ref="J5:J68" si="0">IF(H5&gt;80,"High Performance", IF(H5&lt;70,"Low Performance","Average Performance"))</f>
        <v>Low Performance</v>
      </c>
      <c r="K5" s="1"/>
      <c r="L5" s="4" t="s">
        <v>318</v>
      </c>
      <c r="M5" s="4" t="s">
        <v>319</v>
      </c>
    </row>
    <row r="6" spans="1:13" ht="16" customHeight="1" x14ac:dyDescent="0.4">
      <c r="A6" s="18" t="s">
        <v>108</v>
      </c>
      <c r="B6" s="18" t="s">
        <v>109</v>
      </c>
      <c r="C6" s="18" t="s">
        <v>56</v>
      </c>
      <c r="D6" s="18">
        <v>75</v>
      </c>
      <c r="E6" s="18">
        <v>75</v>
      </c>
      <c r="F6" s="18" t="s">
        <v>42</v>
      </c>
      <c r="G6" s="18" t="s">
        <v>110</v>
      </c>
      <c r="H6" s="22"/>
      <c r="I6" s="18" t="str">
        <f>IF(ISBLANK(#REF!),"Pending","Completed")</f>
        <v>Completed</v>
      </c>
      <c r="J6" s="33" t="str">
        <f t="shared" si="0"/>
        <v>Low Performance</v>
      </c>
      <c r="K6" s="6"/>
      <c r="L6" s="8"/>
    </row>
    <row r="7" spans="1:13" s="4" customFormat="1" ht="16" customHeight="1" x14ac:dyDescent="0.25">
      <c r="A7" s="17" t="s">
        <v>111</v>
      </c>
      <c r="B7" s="17" t="s">
        <v>112</v>
      </c>
      <c r="C7" s="17" t="s">
        <v>81</v>
      </c>
      <c r="D7" s="17">
        <v>75</v>
      </c>
      <c r="E7" s="17">
        <v>75</v>
      </c>
      <c r="F7" s="17" t="s">
        <v>113</v>
      </c>
      <c r="G7" s="17" t="s">
        <v>114</v>
      </c>
      <c r="H7" s="23"/>
      <c r="I7" s="17" t="str">
        <f>IF(ISBLANK(#REF!),"Pending","Completed")</f>
        <v>Completed</v>
      </c>
      <c r="J7" s="33" t="str">
        <f t="shared" si="0"/>
        <v>Low Performance</v>
      </c>
      <c r="K7" s="1"/>
      <c r="L7" s="1" t="s">
        <v>115</v>
      </c>
      <c r="M7" s="1" t="s">
        <v>116</v>
      </c>
    </row>
    <row r="8" spans="1:13" s="5" customFormat="1" ht="16" customHeight="1" x14ac:dyDescent="0.25">
      <c r="A8" s="18" t="s">
        <v>117</v>
      </c>
      <c r="B8" s="18" t="s">
        <v>118</v>
      </c>
      <c r="C8" s="18" t="s">
        <v>60</v>
      </c>
      <c r="D8" s="18">
        <v>60</v>
      </c>
      <c r="E8" s="18">
        <v>85</v>
      </c>
      <c r="F8" s="18" t="s">
        <v>119</v>
      </c>
      <c r="G8" s="18" t="s">
        <v>120</v>
      </c>
      <c r="H8" s="35">
        <v>75</v>
      </c>
      <c r="I8" s="18" t="str">
        <f>IF(ISBLANK(#REF!),"Pending","Completed")</f>
        <v>Completed</v>
      </c>
      <c r="J8" s="33" t="str">
        <f t="shared" si="0"/>
        <v>Average Performance</v>
      </c>
      <c r="L8" s="1" t="s">
        <v>121</v>
      </c>
      <c r="M8" s="1">
        <f>COUNTA(#REF!)</f>
        <v>1</v>
      </c>
    </row>
    <row r="9" spans="1:13" ht="16" customHeight="1" x14ac:dyDescent="0.25">
      <c r="A9" s="17" t="s">
        <v>122</v>
      </c>
      <c r="B9" s="17" t="s">
        <v>25</v>
      </c>
      <c r="C9" s="17" t="s">
        <v>58</v>
      </c>
      <c r="D9" s="17">
        <v>65</v>
      </c>
      <c r="E9" s="17">
        <v>51</v>
      </c>
      <c r="F9" s="17" t="s">
        <v>24</v>
      </c>
      <c r="G9" s="17" t="s">
        <v>23</v>
      </c>
      <c r="H9" s="36">
        <v>70</v>
      </c>
      <c r="I9" s="17" t="str">
        <f>IF(ISBLANK(#REF!),"Pending","Completed")</f>
        <v>Completed</v>
      </c>
      <c r="J9" s="33" t="str">
        <f t="shared" si="0"/>
        <v>Average Performance</v>
      </c>
      <c r="L9" s="1" t="s">
        <v>123</v>
      </c>
      <c r="M9" s="1">
        <v>2</v>
      </c>
    </row>
    <row r="10" spans="1:13" s="4" customFormat="1" ht="16" customHeight="1" x14ac:dyDescent="0.25">
      <c r="A10" s="18" t="s">
        <v>124</v>
      </c>
      <c r="B10" s="18" t="s">
        <v>125</v>
      </c>
      <c r="C10" s="18" t="s">
        <v>60</v>
      </c>
      <c r="D10" s="18">
        <v>70</v>
      </c>
      <c r="E10" s="18">
        <v>75</v>
      </c>
      <c r="F10" s="18" t="s">
        <v>126</v>
      </c>
      <c r="G10" s="18" t="s">
        <v>127</v>
      </c>
      <c r="H10" s="35">
        <v>80</v>
      </c>
      <c r="I10" s="18" t="str">
        <f>IF(ISBLANK(#REF!),"Pending","Completed")</f>
        <v>Completed</v>
      </c>
      <c r="J10" s="33" t="str">
        <f t="shared" si="0"/>
        <v>Average Performance</v>
      </c>
      <c r="K10" s="1"/>
      <c r="L10" s="1" t="s">
        <v>128</v>
      </c>
      <c r="M10" s="13">
        <f>AVERAGE(H2:H66)</f>
        <v>76.901639344262293</v>
      </c>
    </row>
    <row r="11" spans="1:13" s="4" customFormat="1" ht="16" customHeight="1" x14ac:dyDescent="0.25">
      <c r="A11" s="17" t="s">
        <v>129</v>
      </c>
      <c r="B11" s="17" t="s">
        <v>45</v>
      </c>
      <c r="C11" s="17" t="s">
        <v>58</v>
      </c>
      <c r="D11" s="17">
        <v>70</v>
      </c>
      <c r="E11" s="17">
        <v>65</v>
      </c>
      <c r="F11" s="17" t="s">
        <v>27</v>
      </c>
      <c r="G11" s="17" t="s">
        <v>44</v>
      </c>
      <c r="H11" s="36">
        <v>70</v>
      </c>
      <c r="I11" s="17" t="str">
        <f>IF(ISBLANK(#REF!),"Pending","Completed")</f>
        <v>Completed</v>
      </c>
      <c r="J11" s="33" t="str">
        <f t="shared" si="0"/>
        <v>Average Performance</v>
      </c>
      <c r="L11" s="5" t="s">
        <v>130</v>
      </c>
      <c r="M11" s="14">
        <f>AVERAGE(E2:E66)</f>
        <v>74.174603174603178</v>
      </c>
    </row>
    <row r="12" spans="1:13" s="4" customFormat="1" ht="16" customHeight="1" x14ac:dyDescent="0.25">
      <c r="A12" s="18" t="s">
        <v>131</v>
      </c>
      <c r="B12" s="18" t="s">
        <v>132</v>
      </c>
      <c r="C12" s="18" t="s">
        <v>61</v>
      </c>
      <c r="D12" s="18">
        <v>70</v>
      </c>
      <c r="E12" s="18">
        <v>70</v>
      </c>
      <c r="F12" s="18" t="s">
        <v>133</v>
      </c>
      <c r="G12" s="18" t="s">
        <v>134</v>
      </c>
      <c r="H12" s="35">
        <v>70</v>
      </c>
      <c r="I12" s="18" t="str">
        <f>IF(ISBLANK(#REF!),"Pending","Completed")</f>
        <v>Completed</v>
      </c>
      <c r="J12" s="33" t="str">
        <f t="shared" si="0"/>
        <v>Average Performance</v>
      </c>
      <c r="K12" s="1"/>
      <c r="L12" s="1" t="s">
        <v>135</v>
      </c>
      <c r="M12" s="13">
        <f>AVERAGE(D2:D66)</f>
        <v>73.825396825396822</v>
      </c>
    </row>
    <row r="13" spans="1:13" ht="16" customHeight="1" x14ac:dyDescent="0.25">
      <c r="A13" s="17" t="s">
        <v>136</v>
      </c>
      <c r="B13" s="17" t="s">
        <v>137</v>
      </c>
      <c r="C13" s="17" t="s">
        <v>61</v>
      </c>
      <c r="D13" s="17">
        <v>70</v>
      </c>
      <c r="E13" s="17">
        <v>80</v>
      </c>
      <c r="F13" s="17" t="s">
        <v>138</v>
      </c>
      <c r="G13" s="17" t="s">
        <v>139</v>
      </c>
      <c r="H13" s="36">
        <v>80</v>
      </c>
      <c r="I13" s="17" t="str">
        <f>IF(ISBLANK(#REF!),"Pending","Completed")</f>
        <v>Completed</v>
      </c>
      <c r="J13" s="33" t="str">
        <f t="shared" si="0"/>
        <v>Average Performance</v>
      </c>
    </row>
    <row r="14" spans="1:13" ht="30" customHeight="1" x14ac:dyDescent="0.25">
      <c r="A14" s="18" t="s">
        <v>140</v>
      </c>
      <c r="B14" s="18" t="s">
        <v>141</v>
      </c>
      <c r="C14" s="18" t="s">
        <v>73</v>
      </c>
      <c r="D14" s="18">
        <v>70</v>
      </c>
      <c r="E14" s="18">
        <v>75</v>
      </c>
      <c r="F14" s="18" t="s">
        <v>142</v>
      </c>
      <c r="G14" s="18" t="s">
        <v>143</v>
      </c>
      <c r="H14" s="35">
        <v>80</v>
      </c>
      <c r="I14" s="18" t="str">
        <f>IF(ISBLANK(#REF!),"Pending","Completed")</f>
        <v>Completed</v>
      </c>
      <c r="J14" s="33" t="str">
        <f t="shared" si="0"/>
        <v>Average Performance</v>
      </c>
    </row>
    <row r="15" spans="1:13" ht="16" customHeight="1" x14ac:dyDescent="0.25">
      <c r="A15" s="17" t="s">
        <v>144</v>
      </c>
      <c r="B15" s="17" t="s">
        <v>28</v>
      </c>
      <c r="C15" s="17" t="s">
        <v>52</v>
      </c>
      <c r="D15" s="17">
        <v>65</v>
      </c>
      <c r="E15" s="17">
        <v>51</v>
      </c>
      <c r="F15" s="17" t="s">
        <v>27</v>
      </c>
      <c r="G15" s="17" t="s">
        <v>26</v>
      </c>
      <c r="H15" s="36">
        <v>75</v>
      </c>
      <c r="I15" s="17" t="str">
        <f>IF(ISBLANK(#REF!),"Pending","Completed")</f>
        <v>Completed</v>
      </c>
      <c r="J15" s="33" t="str">
        <f t="shared" si="0"/>
        <v>Average Performance</v>
      </c>
    </row>
    <row r="16" spans="1:13" ht="16" customHeight="1" x14ac:dyDescent="0.25">
      <c r="A16" s="18" t="s">
        <v>145</v>
      </c>
      <c r="B16" s="18" t="s">
        <v>146</v>
      </c>
      <c r="C16" s="18" t="s">
        <v>83</v>
      </c>
      <c r="D16" s="18">
        <v>70</v>
      </c>
      <c r="E16" s="18">
        <v>75</v>
      </c>
      <c r="F16" s="18" t="s">
        <v>147</v>
      </c>
      <c r="G16" s="18" t="s">
        <v>148</v>
      </c>
      <c r="H16" s="35">
        <v>80</v>
      </c>
      <c r="I16" s="18" t="str">
        <f>IF(ISBLANK(#REF!),"Pending","Completed")</f>
        <v>Completed</v>
      </c>
      <c r="J16" s="33" t="str">
        <f t="shared" si="0"/>
        <v>Average Performance</v>
      </c>
    </row>
    <row r="17" spans="1:10" ht="16" customHeight="1" x14ac:dyDescent="0.25">
      <c r="A17" s="17" t="s">
        <v>149</v>
      </c>
      <c r="B17" s="17" t="s">
        <v>150</v>
      </c>
      <c r="C17" s="17" t="s">
        <v>82</v>
      </c>
      <c r="D17" s="17">
        <v>70</v>
      </c>
      <c r="E17" s="17">
        <v>70</v>
      </c>
      <c r="F17" s="17" t="s">
        <v>133</v>
      </c>
      <c r="G17" s="17" t="s">
        <v>151</v>
      </c>
      <c r="H17" s="36">
        <v>80</v>
      </c>
      <c r="I17" s="17" t="str">
        <f>IF(ISBLANK(#REF!),"Pending","Completed")</f>
        <v>Completed</v>
      </c>
      <c r="J17" s="33" t="str">
        <f t="shared" si="0"/>
        <v>Average Performance</v>
      </c>
    </row>
    <row r="18" spans="1:10" s="10" customFormat="1" ht="16" customHeight="1" x14ac:dyDescent="0.25">
      <c r="A18" s="18" t="s">
        <v>152</v>
      </c>
      <c r="B18" s="18" t="s">
        <v>153</v>
      </c>
      <c r="C18" s="18" t="s">
        <v>71</v>
      </c>
      <c r="D18" s="18">
        <v>75</v>
      </c>
      <c r="E18" s="18">
        <v>75</v>
      </c>
      <c r="F18" s="18" t="s">
        <v>154</v>
      </c>
      <c r="G18" s="18" t="s">
        <v>155</v>
      </c>
      <c r="H18" s="35">
        <v>75</v>
      </c>
      <c r="I18" s="18" t="str">
        <f>IF(ISBLANK(#REF!),"Pending","Completed")</f>
        <v>Completed</v>
      </c>
      <c r="J18" s="33" t="str">
        <f t="shared" si="0"/>
        <v>Average Performance</v>
      </c>
    </row>
    <row r="19" spans="1:10" ht="16" customHeight="1" x14ac:dyDescent="0.25">
      <c r="A19" s="17" t="s">
        <v>156</v>
      </c>
      <c r="B19" s="17" t="s">
        <v>157</v>
      </c>
      <c r="C19" s="17" t="s">
        <v>54</v>
      </c>
      <c r="D19" s="17">
        <v>70</v>
      </c>
      <c r="E19" s="17">
        <v>70</v>
      </c>
      <c r="F19" s="17" t="s">
        <v>158</v>
      </c>
      <c r="G19" s="17" t="s">
        <v>159</v>
      </c>
      <c r="H19" s="36">
        <v>70</v>
      </c>
      <c r="I19" s="17" t="str">
        <f>IF(ISBLANK(#REF!),"Pending","Completed")</f>
        <v>Completed</v>
      </c>
      <c r="J19" s="33" t="str">
        <f t="shared" si="0"/>
        <v>Average Performance</v>
      </c>
    </row>
    <row r="20" spans="1:10" ht="16" customHeight="1" x14ac:dyDescent="0.25">
      <c r="A20" s="18" t="s">
        <v>160</v>
      </c>
      <c r="B20" s="18" t="s">
        <v>161</v>
      </c>
      <c r="C20" s="18" t="s">
        <v>59</v>
      </c>
      <c r="D20" s="18">
        <v>75</v>
      </c>
      <c r="E20" s="18">
        <v>75</v>
      </c>
      <c r="F20" s="18" t="s">
        <v>162</v>
      </c>
      <c r="G20" s="18" t="s">
        <v>163</v>
      </c>
      <c r="H20" s="35">
        <v>80</v>
      </c>
      <c r="I20" s="18" t="str">
        <f>IF(ISBLANK(#REF!),"Pending","Completed")</f>
        <v>Completed</v>
      </c>
      <c r="J20" s="33" t="str">
        <f t="shared" si="0"/>
        <v>Average Performance</v>
      </c>
    </row>
    <row r="21" spans="1:10" ht="16" customHeight="1" x14ac:dyDescent="0.25">
      <c r="A21" s="17" t="s">
        <v>164</v>
      </c>
      <c r="B21" s="17" t="s">
        <v>165</v>
      </c>
      <c r="C21" s="17" t="s">
        <v>59</v>
      </c>
      <c r="D21" s="17">
        <v>75</v>
      </c>
      <c r="E21" s="17">
        <v>75</v>
      </c>
      <c r="F21" s="17" t="s">
        <v>162</v>
      </c>
      <c r="G21" s="17" t="s">
        <v>166</v>
      </c>
      <c r="H21" s="36">
        <v>80</v>
      </c>
      <c r="I21" s="17" t="str">
        <f>IF(ISBLANK(#REF!),"Pending","Completed")</f>
        <v>Completed</v>
      </c>
      <c r="J21" s="33" t="str">
        <f t="shared" si="0"/>
        <v>Average Performance</v>
      </c>
    </row>
    <row r="22" spans="1:10" ht="16" customHeight="1" x14ac:dyDescent="0.25">
      <c r="A22" s="18" t="s">
        <v>167</v>
      </c>
      <c r="B22" s="18" t="s">
        <v>168</v>
      </c>
      <c r="C22" s="18" t="s">
        <v>74</v>
      </c>
      <c r="D22" s="18">
        <v>75</v>
      </c>
      <c r="E22" s="18">
        <v>75</v>
      </c>
      <c r="F22" s="18" t="s">
        <v>42</v>
      </c>
      <c r="G22" s="18" t="s">
        <v>169</v>
      </c>
      <c r="H22" s="35">
        <v>75</v>
      </c>
      <c r="I22" s="18" t="str">
        <f>IF(ISBLANK(#REF!),"Pending","Completed")</f>
        <v>Completed</v>
      </c>
      <c r="J22" s="33" t="str">
        <f t="shared" si="0"/>
        <v>Average Performance</v>
      </c>
    </row>
    <row r="23" spans="1:10" ht="16" customHeight="1" x14ac:dyDescent="0.25">
      <c r="A23" s="17" t="s">
        <v>170</v>
      </c>
      <c r="B23" s="17" t="s">
        <v>171</v>
      </c>
      <c r="C23" s="17" t="s">
        <v>51</v>
      </c>
      <c r="D23" s="17">
        <v>80</v>
      </c>
      <c r="E23" s="17">
        <v>75</v>
      </c>
      <c r="F23" s="17" t="s">
        <v>172</v>
      </c>
      <c r="G23" s="17" t="s">
        <v>173</v>
      </c>
      <c r="H23" s="36">
        <v>80</v>
      </c>
      <c r="I23" s="17" t="str">
        <f>IF(ISBLANK(#REF!),"Pending","Completed")</f>
        <v>Completed</v>
      </c>
      <c r="J23" s="33" t="str">
        <f t="shared" si="0"/>
        <v>Average Performance</v>
      </c>
    </row>
    <row r="24" spans="1:10" ht="16" customHeight="1" x14ac:dyDescent="0.25">
      <c r="A24" s="18" t="s">
        <v>174</v>
      </c>
      <c r="B24" s="18" t="s">
        <v>175</v>
      </c>
      <c r="C24" s="18" t="s">
        <v>51</v>
      </c>
      <c r="D24" s="18">
        <v>80</v>
      </c>
      <c r="E24" s="18">
        <v>80</v>
      </c>
      <c r="F24" s="18" t="s">
        <v>176</v>
      </c>
      <c r="G24" s="18" t="s">
        <v>177</v>
      </c>
      <c r="H24" s="35">
        <v>80</v>
      </c>
      <c r="I24" s="18" t="str">
        <f>IF(ISBLANK(#REF!),"Pending","Completed")</f>
        <v>Completed</v>
      </c>
      <c r="J24" s="33" t="str">
        <f t="shared" si="0"/>
        <v>Average Performance</v>
      </c>
    </row>
    <row r="25" spans="1:10" ht="16" customHeight="1" x14ac:dyDescent="0.25">
      <c r="A25" s="17" t="s">
        <v>178</v>
      </c>
      <c r="B25" s="17" t="s">
        <v>179</v>
      </c>
      <c r="C25" s="17" t="s">
        <v>57</v>
      </c>
      <c r="D25" s="17">
        <v>80</v>
      </c>
      <c r="E25" s="17">
        <v>75</v>
      </c>
      <c r="F25" s="17" t="s">
        <v>180</v>
      </c>
      <c r="G25" s="17" t="s">
        <v>181</v>
      </c>
      <c r="H25" s="36">
        <v>76</v>
      </c>
      <c r="I25" s="17" t="str">
        <f>IF(ISBLANK(#REF!),"Pending","Completed")</f>
        <v>Completed</v>
      </c>
      <c r="J25" s="33" t="str">
        <f t="shared" si="0"/>
        <v>Average Performance</v>
      </c>
    </row>
    <row r="26" spans="1:10" ht="16" customHeight="1" x14ac:dyDescent="0.25">
      <c r="A26" s="18" t="s">
        <v>182</v>
      </c>
      <c r="B26" s="18" t="s">
        <v>183</v>
      </c>
      <c r="C26" s="18" t="s">
        <v>57</v>
      </c>
      <c r="D26" s="18">
        <v>80</v>
      </c>
      <c r="E26" s="18">
        <v>75</v>
      </c>
      <c r="F26" s="18" t="s">
        <v>184</v>
      </c>
      <c r="G26" s="18" t="s">
        <v>185</v>
      </c>
      <c r="H26" s="35">
        <v>80</v>
      </c>
      <c r="I26" s="18" t="str">
        <f>IF(ISBLANK(#REF!),"Pending","Completed")</f>
        <v>Completed</v>
      </c>
      <c r="J26" s="33" t="str">
        <f t="shared" si="0"/>
        <v>Average Performance</v>
      </c>
    </row>
    <row r="27" spans="1:10" ht="16" customHeight="1" x14ac:dyDescent="0.25">
      <c r="A27" s="17" t="s">
        <v>186</v>
      </c>
      <c r="B27" s="17" t="s">
        <v>187</v>
      </c>
      <c r="C27" s="17" t="s">
        <v>79</v>
      </c>
      <c r="D27" s="17">
        <v>75</v>
      </c>
      <c r="E27" s="17">
        <v>75</v>
      </c>
      <c r="F27" s="17" t="s">
        <v>188</v>
      </c>
      <c r="G27" s="17" t="s">
        <v>189</v>
      </c>
      <c r="H27" s="36">
        <v>75</v>
      </c>
      <c r="I27" s="17" t="str">
        <f>IF(ISBLANK(#REF!),"Pending","Completed")</f>
        <v>Completed</v>
      </c>
      <c r="J27" s="33" t="str">
        <f t="shared" si="0"/>
        <v>Average Performance</v>
      </c>
    </row>
    <row r="28" spans="1:10" ht="16" customHeight="1" x14ac:dyDescent="0.25">
      <c r="A28" s="18" t="s">
        <v>190</v>
      </c>
      <c r="B28" s="18" t="s">
        <v>191</v>
      </c>
      <c r="C28" s="18" t="s">
        <v>51</v>
      </c>
      <c r="D28" s="18">
        <v>80</v>
      </c>
      <c r="E28" s="18">
        <v>75</v>
      </c>
      <c r="F28" s="18" t="s">
        <v>192</v>
      </c>
      <c r="G28" s="18" t="s">
        <v>193</v>
      </c>
      <c r="H28" s="35">
        <v>80</v>
      </c>
      <c r="I28" s="18" t="str">
        <f>IF(ISBLANK(#REF!),"Pending","Completed")</f>
        <v>Completed</v>
      </c>
      <c r="J28" s="33" t="str">
        <f t="shared" si="0"/>
        <v>Average Performance</v>
      </c>
    </row>
    <row r="29" spans="1:10" ht="16" customHeight="1" x14ac:dyDescent="0.25">
      <c r="A29" s="17" t="s">
        <v>194</v>
      </c>
      <c r="B29" s="17" t="s">
        <v>195</v>
      </c>
      <c r="C29" s="17" t="s">
        <v>50</v>
      </c>
      <c r="D29" s="17">
        <v>80</v>
      </c>
      <c r="E29" s="17">
        <v>80</v>
      </c>
      <c r="F29" s="17" t="s">
        <v>196</v>
      </c>
      <c r="G29" s="17" t="s">
        <v>197</v>
      </c>
      <c r="H29" s="36">
        <v>80</v>
      </c>
      <c r="I29" s="17" t="str">
        <f>IF(ISBLANK(#REF!),"Pending","Completed")</f>
        <v>Completed</v>
      </c>
      <c r="J29" s="33" t="str">
        <f t="shared" si="0"/>
        <v>Average Performance</v>
      </c>
    </row>
    <row r="30" spans="1:10" ht="16" customHeight="1" x14ac:dyDescent="0.25">
      <c r="A30" s="18" t="s">
        <v>198</v>
      </c>
      <c r="B30" s="18" t="s">
        <v>40</v>
      </c>
      <c r="C30" s="18" t="s">
        <v>48</v>
      </c>
      <c r="D30" s="18">
        <v>80</v>
      </c>
      <c r="E30" s="18">
        <v>65</v>
      </c>
      <c r="F30" s="18" t="s">
        <v>39</v>
      </c>
      <c r="G30" s="18" t="s">
        <v>38</v>
      </c>
      <c r="H30" s="35">
        <v>75</v>
      </c>
      <c r="I30" s="18" t="str">
        <f>IF(ISBLANK(#REF!),"Pending","Completed")</f>
        <v>Completed</v>
      </c>
      <c r="J30" s="33" t="str">
        <f t="shared" si="0"/>
        <v>Average Performance</v>
      </c>
    </row>
    <row r="31" spans="1:10" ht="16" customHeight="1" x14ac:dyDescent="0.25">
      <c r="A31" s="17" t="s">
        <v>199</v>
      </c>
      <c r="B31" s="17" t="s">
        <v>200</v>
      </c>
      <c r="C31" s="17" t="s">
        <v>90</v>
      </c>
      <c r="D31" s="17">
        <v>75</v>
      </c>
      <c r="E31" s="17">
        <v>75</v>
      </c>
      <c r="F31" s="17" t="s">
        <v>162</v>
      </c>
      <c r="G31" s="17" t="s">
        <v>201</v>
      </c>
      <c r="H31" s="36">
        <v>80</v>
      </c>
      <c r="I31" s="17" t="str">
        <f>IF(ISBLANK(#REF!),"Pending","Completed")</f>
        <v>Completed</v>
      </c>
      <c r="J31" s="33" t="str">
        <f t="shared" si="0"/>
        <v>Average Performance</v>
      </c>
    </row>
    <row r="32" spans="1:10" ht="16" customHeight="1" x14ac:dyDescent="0.25">
      <c r="A32" s="18" t="s">
        <v>202</v>
      </c>
      <c r="B32" s="18" t="s">
        <v>203</v>
      </c>
      <c r="C32" s="18" t="s">
        <v>64</v>
      </c>
      <c r="D32" s="18">
        <v>75</v>
      </c>
      <c r="E32" s="18">
        <v>75</v>
      </c>
      <c r="F32" s="18" t="s">
        <v>204</v>
      </c>
      <c r="G32" s="18" t="s">
        <v>205</v>
      </c>
      <c r="H32" s="35">
        <v>75</v>
      </c>
      <c r="I32" s="18" t="str">
        <f>IF(ISBLANK(#REF!),"Pending","Completed")</f>
        <v>Completed</v>
      </c>
      <c r="J32" s="33" t="str">
        <f t="shared" si="0"/>
        <v>Average Performance</v>
      </c>
    </row>
    <row r="33" spans="1:10" ht="16" customHeight="1" x14ac:dyDescent="0.25">
      <c r="A33" s="17" t="s">
        <v>206</v>
      </c>
      <c r="B33" s="17" t="s">
        <v>207</v>
      </c>
      <c r="C33" s="17" t="s">
        <v>48</v>
      </c>
      <c r="D33" s="17">
        <v>76</v>
      </c>
      <c r="E33" s="17">
        <v>70</v>
      </c>
      <c r="F33" s="17" t="s">
        <v>208</v>
      </c>
      <c r="G33" s="17" t="s">
        <v>209</v>
      </c>
      <c r="H33" s="36">
        <v>75</v>
      </c>
      <c r="I33" s="17" t="str">
        <f>IF(ISBLANK(#REF!),"Pending","Completed")</f>
        <v>Completed</v>
      </c>
      <c r="J33" s="33" t="str">
        <f t="shared" si="0"/>
        <v>Average Performance</v>
      </c>
    </row>
    <row r="34" spans="1:10" ht="16" customHeight="1" x14ac:dyDescent="0.25">
      <c r="A34" s="18" t="s">
        <v>210</v>
      </c>
      <c r="B34" s="18" t="s">
        <v>211</v>
      </c>
      <c r="C34" s="18" t="s">
        <v>48</v>
      </c>
      <c r="D34" s="18">
        <v>75</v>
      </c>
      <c r="E34" s="18">
        <v>80</v>
      </c>
      <c r="F34" s="18" t="s">
        <v>212</v>
      </c>
      <c r="G34" s="18" t="s">
        <v>213</v>
      </c>
      <c r="H34" s="35">
        <v>75</v>
      </c>
      <c r="I34" s="18" t="str">
        <f>IF(ISBLANK(#REF!),"Pending","Completed")</f>
        <v>Completed</v>
      </c>
      <c r="J34" s="33" t="str">
        <f t="shared" si="0"/>
        <v>Average Performance</v>
      </c>
    </row>
    <row r="35" spans="1:10" ht="16" customHeight="1" x14ac:dyDescent="0.25">
      <c r="A35" s="17" t="s">
        <v>214</v>
      </c>
      <c r="B35" s="17" t="s">
        <v>215</v>
      </c>
      <c r="C35" s="17" t="s">
        <v>48</v>
      </c>
      <c r="D35" s="17">
        <v>85</v>
      </c>
      <c r="E35" s="17">
        <v>75</v>
      </c>
      <c r="F35" s="17" t="s">
        <v>216</v>
      </c>
      <c r="G35" s="17" t="s">
        <v>217</v>
      </c>
      <c r="H35" s="36">
        <v>75</v>
      </c>
      <c r="I35" s="17" t="str">
        <f>IF(ISBLANK(#REF!),"Pending","Completed")</f>
        <v>Completed</v>
      </c>
      <c r="J35" s="33" t="str">
        <f t="shared" si="0"/>
        <v>Average Performance</v>
      </c>
    </row>
    <row r="36" spans="1:10" ht="16" customHeight="1" x14ac:dyDescent="0.25">
      <c r="A36" s="18" t="s">
        <v>218</v>
      </c>
      <c r="B36" s="18" t="s">
        <v>37</v>
      </c>
      <c r="C36" s="18" t="s">
        <v>55</v>
      </c>
      <c r="D36" s="18">
        <v>70</v>
      </c>
      <c r="E36" s="18">
        <v>65</v>
      </c>
      <c r="F36" s="18" t="s">
        <v>36</v>
      </c>
      <c r="G36" s="18" t="s">
        <v>35</v>
      </c>
      <c r="H36" s="35">
        <v>70</v>
      </c>
      <c r="I36" s="18" t="str">
        <f>IF(ISBLANK(#REF!),"Pending","Completed")</f>
        <v>Completed</v>
      </c>
      <c r="J36" s="33" t="str">
        <f t="shared" si="0"/>
        <v>Average Performance</v>
      </c>
    </row>
    <row r="37" spans="1:10" ht="16" customHeight="1" x14ac:dyDescent="0.25">
      <c r="A37" s="17" t="s">
        <v>219</v>
      </c>
      <c r="B37" s="17" t="s">
        <v>220</v>
      </c>
      <c r="C37" s="17" t="s">
        <v>70</v>
      </c>
      <c r="D37" s="17">
        <v>75</v>
      </c>
      <c r="E37" s="17">
        <v>75</v>
      </c>
      <c r="F37" s="17" t="s">
        <v>154</v>
      </c>
      <c r="G37" s="17" t="s">
        <v>221</v>
      </c>
      <c r="H37" s="36">
        <v>75</v>
      </c>
      <c r="I37" s="17" t="str">
        <f>IF(ISBLANK(#REF!),"Pending","Completed")</f>
        <v>Completed</v>
      </c>
      <c r="J37" s="33" t="str">
        <f t="shared" si="0"/>
        <v>Average Performance</v>
      </c>
    </row>
    <row r="38" spans="1:10" ht="16" customHeight="1" x14ac:dyDescent="0.25">
      <c r="A38" s="18" t="s">
        <v>222</v>
      </c>
      <c r="B38" s="18" t="s">
        <v>223</v>
      </c>
      <c r="C38" s="18" t="s">
        <v>52</v>
      </c>
      <c r="D38" s="18">
        <v>75</v>
      </c>
      <c r="E38" s="18">
        <v>80</v>
      </c>
      <c r="F38" s="18" t="s">
        <v>224</v>
      </c>
      <c r="G38" s="18" t="s">
        <v>225</v>
      </c>
      <c r="H38" s="35">
        <v>80</v>
      </c>
      <c r="I38" s="18" t="str">
        <f>IF(ISBLANK(#REF!),"Pending","Completed")</f>
        <v>Completed</v>
      </c>
      <c r="J38" s="33" t="str">
        <f t="shared" si="0"/>
        <v>Average Performance</v>
      </c>
    </row>
    <row r="39" spans="1:10" ht="16" customHeight="1" x14ac:dyDescent="0.25">
      <c r="A39" s="17" t="s">
        <v>226</v>
      </c>
      <c r="B39" s="17" t="s">
        <v>227</v>
      </c>
      <c r="C39" s="17" t="s">
        <v>50</v>
      </c>
      <c r="D39" s="17">
        <v>75</v>
      </c>
      <c r="E39" s="17">
        <v>75</v>
      </c>
      <c r="F39" s="17" t="s">
        <v>224</v>
      </c>
      <c r="G39" s="17" t="s">
        <v>228</v>
      </c>
      <c r="H39" s="36">
        <v>75</v>
      </c>
      <c r="I39" s="17" t="str">
        <f>IF(ISBLANK(#REF!),"Pending","Completed")</f>
        <v>Completed</v>
      </c>
      <c r="J39" s="33" t="str">
        <f t="shared" si="0"/>
        <v>Average Performance</v>
      </c>
    </row>
    <row r="40" spans="1:10" ht="16" customHeight="1" x14ac:dyDescent="0.25">
      <c r="A40" s="18" t="s">
        <v>229</v>
      </c>
      <c r="B40" s="18" t="s">
        <v>230</v>
      </c>
      <c r="C40" s="18" t="s">
        <v>66</v>
      </c>
      <c r="D40" s="18">
        <v>75</v>
      </c>
      <c r="E40" s="18">
        <v>75</v>
      </c>
      <c r="F40" s="18" t="s">
        <v>196</v>
      </c>
      <c r="G40" s="18" t="s">
        <v>231</v>
      </c>
      <c r="H40" s="35">
        <v>75</v>
      </c>
      <c r="I40" s="18" t="str">
        <f>IF(ISBLANK(#REF!),"Pending","Completed")</f>
        <v>Completed</v>
      </c>
      <c r="J40" s="33" t="str">
        <f t="shared" si="0"/>
        <v>Average Performance</v>
      </c>
    </row>
    <row r="41" spans="1:10" ht="16" customHeight="1" x14ac:dyDescent="0.25">
      <c r="A41" s="17" t="s">
        <v>232</v>
      </c>
      <c r="B41" s="17" t="s">
        <v>233</v>
      </c>
      <c r="C41" s="17" t="s">
        <v>84</v>
      </c>
      <c r="D41" s="17">
        <v>75</v>
      </c>
      <c r="E41" s="17">
        <v>70</v>
      </c>
      <c r="F41" s="17" t="s">
        <v>30</v>
      </c>
      <c r="G41" s="17" t="s">
        <v>234</v>
      </c>
      <c r="H41" s="36">
        <v>75</v>
      </c>
      <c r="I41" s="17" t="str">
        <f>IF(ISBLANK(#REF!),"Pending","Completed")</f>
        <v>Completed</v>
      </c>
      <c r="J41" s="33" t="str">
        <f t="shared" si="0"/>
        <v>Average Performance</v>
      </c>
    </row>
    <row r="42" spans="1:10" ht="16" customHeight="1" x14ac:dyDescent="0.25">
      <c r="A42" s="18" t="s">
        <v>235</v>
      </c>
      <c r="B42" s="18" t="s">
        <v>236</v>
      </c>
      <c r="C42" s="18" t="s">
        <v>53</v>
      </c>
      <c r="D42" s="18">
        <v>70</v>
      </c>
      <c r="E42" s="18">
        <v>75</v>
      </c>
      <c r="F42" s="18" t="s">
        <v>196</v>
      </c>
      <c r="G42" s="18" t="s">
        <v>237</v>
      </c>
      <c r="H42" s="35">
        <v>75</v>
      </c>
      <c r="I42" s="18" t="str">
        <f>IF(ISBLANK(#REF!),"Pending","Completed")</f>
        <v>Completed</v>
      </c>
      <c r="J42" s="33" t="str">
        <f t="shared" si="0"/>
        <v>Average Performance</v>
      </c>
    </row>
    <row r="43" spans="1:10" ht="32" customHeight="1" x14ac:dyDescent="0.25">
      <c r="A43" s="17" t="s">
        <v>238</v>
      </c>
      <c r="B43" s="17" t="s">
        <v>239</v>
      </c>
      <c r="C43" s="17" t="s">
        <v>240</v>
      </c>
      <c r="D43" s="17">
        <v>70</v>
      </c>
      <c r="E43" s="17">
        <v>70</v>
      </c>
      <c r="F43" s="17" t="s">
        <v>196</v>
      </c>
      <c r="G43" s="17" t="s">
        <v>241</v>
      </c>
      <c r="H43" s="36">
        <v>70</v>
      </c>
      <c r="I43" s="17" t="str">
        <f>IF(ISBLANK(#REF!),"Pending","Completed")</f>
        <v>Completed</v>
      </c>
      <c r="J43" s="33" t="str">
        <f t="shared" si="0"/>
        <v>Average Performance</v>
      </c>
    </row>
    <row r="44" spans="1:10" ht="16" customHeight="1" x14ac:dyDescent="0.25">
      <c r="A44" s="18" t="s">
        <v>242</v>
      </c>
      <c r="B44" s="18" t="s">
        <v>243</v>
      </c>
      <c r="C44" s="18" t="s">
        <v>85</v>
      </c>
      <c r="D44" s="18">
        <v>75</v>
      </c>
      <c r="E44" s="18">
        <v>70</v>
      </c>
      <c r="F44" s="18" t="s">
        <v>42</v>
      </c>
      <c r="G44" s="18" t="s">
        <v>244</v>
      </c>
      <c r="H44" s="35">
        <v>75</v>
      </c>
      <c r="I44" s="18" t="str">
        <f>IF(ISBLANK(#REF!),"Pending","Completed")</f>
        <v>Completed</v>
      </c>
      <c r="J44" s="33" t="str">
        <f t="shared" si="0"/>
        <v>Average Performance</v>
      </c>
    </row>
    <row r="45" spans="1:10" ht="16" customHeight="1" x14ac:dyDescent="0.25">
      <c r="A45" s="17" t="s">
        <v>245</v>
      </c>
      <c r="B45" s="17" t="s">
        <v>246</v>
      </c>
      <c r="C45" s="17" t="s">
        <v>72</v>
      </c>
      <c r="D45" s="17">
        <v>75</v>
      </c>
      <c r="E45" s="17">
        <v>70</v>
      </c>
      <c r="F45" s="17" t="s">
        <v>196</v>
      </c>
      <c r="G45" s="17" t="s">
        <v>247</v>
      </c>
      <c r="H45" s="36">
        <v>75</v>
      </c>
      <c r="I45" s="17" t="str">
        <f>IF(ISBLANK(#REF!),"Pending","Completed")</f>
        <v>Completed</v>
      </c>
      <c r="J45" s="33" t="str">
        <f t="shared" si="0"/>
        <v>Average Performance</v>
      </c>
    </row>
    <row r="46" spans="1:10" ht="16" customHeight="1" x14ac:dyDescent="0.25">
      <c r="A46" s="18" t="s">
        <v>248</v>
      </c>
      <c r="B46" s="18" t="s">
        <v>249</v>
      </c>
      <c r="C46" s="18" t="s">
        <v>91</v>
      </c>
      <c r="D46" s="18">
        <v>70</v>
      </c>
      <c r="E46" s="18">
        <v>75</v>
      </c>
      <c r="F46" s="18" t="s">
        <v>250</v>
      </c>
      <c r="G46" s="18" t="s">
        <v>251</v>
      </c>
      <c r="H46" s="35">
        <v>80</v>
      </c>
      <c r="I46" s="18" t="str">
        <f>IF(ISBLANK(#REF!),"Pending","Completed")</f>
        <v>Completed</v>
      </c>
      <c r="J46" s="33" t="str">
        <f t="shared" si="0"/>
        <v>Average Performance</v>
      </c>
    </row>
    <row r="47" spans="1:10" ht="19.399999999999999" customHeight="1" x14ac:dyDescent="0.25">
      <c r="A47" s="17" t="s">
        <v>252</v>
      </c>
      <c r="B47" s="17" t="s">
        <v>253</v>
      </c>
      <c r="C47" s="17" t="s">
        <v>69</v>
      </c>
      <c r="D47" s="17">
        <v>75</v>
      </c>
      <c r="E47" s="17">
        <v>80</v>
      </c>
      <c r="F47" s="17" t="s">
        <v>196</v>
      </c>
      <c r="G47" s="17" t="s">
        <v>254</v>
      </c>
      <c r="H47" s="36">
        <v>78</v>
      </c>
      <c r="I47" s="17" t="str">
        <f>IF(ISBLANK(#REF!),"Pending","Completed")</f>
        <v>Completed</v>
      </c>
      <c r="J47" s="33" t="str">
        <f t="shared" si="0"/>
        <v>Average Performance</v>
      </c>
    </row>
    <row r="48" spans="1:10" ht="31.4" customHeight="1" x14ac:dyDescent="0.25">
      <c r="A48" s="18" t="s">
        <v>255</v>
      </c>
      <c r="B48" s="18" t="s">
        <v>256</v>
      </c>
      <c r="C48" s="18" t="s">
        <v>63</v>
      </c>
      <c r="D48" s="18">
        <v>70</v>
      </c>
      <c r="E48" s="18">
        <v>75</v>
      </c>
      <c r="F48" s="18" t="s">
        <v>196</v>
      </c>
      <c r="G48" s="18" t="s">
        <v>254</v>
      </c>
      <c r="H48" s="35">
        <v>73</v>
      </c>
      <c r="I48" s="18" t="str">
        <f>IF(ISBLANK(#REF!),"Pending","Completed")</f>
        <v>Completed</v>
      </c>
      <c r="J48" s="33" t="str">
        <f t="shared" si="0"/>
        <v>Average Performance</v>
      </c>
    </row>
    <row r="49" spans="1:10" ht="16" customHeight="1" x14ac:dyDescent="0.25">
      <c r="A49" s="17" t="s">
        <v>257</v>
      </c>
      <c r="B49" s="17" t="s">
        <v>258</v>
      </c>
      <c r="C49" s="17" t="s">
        <v>62</v>
      </c>
      <c r="D49" s="17">
        <v>65</v>
      </c>
      <c r="E49" s="17">
        <v>75</v>
      </c>
      <c r="F49" s="17" t="s">
        <v>259</v>
      </c>
      <c r="G49" s="17" t="s">
        <v>260</v>
      </c>
      <c r="H49" s="36">
        <v>75</v>
      </c>
      <c r="I49" s="17" t="str">
        <f>IF(ISBLANK(#REF!),"Pending","Completed")</f>
        <v>Completed</v>
      </c>
      <c r="J49" s="33" t="str">
        <f t="shared" si="0"/>
        <v>Average Performance</v>
      </c>
    </row>
    <row r="50" spans="1:10" ht="16" customHeight="1" x14ac:dyDescent="0.25">
      <c r="A50" s="18" t="s">
        <v>261</v>
      </c>
      <c r="B50" s="18" t="s">
        <v>262</v>
      </c>
      <c r="C50" s="18" t="s">
        <v>54</v>
      </c>
      <c r="D50" s="18">
        <v>65</v>
      </c>
      <c r="E50" s="18">
        <v>75</v>
      </c>
      <c r="F50" s="18" t="s">
        <v>263</v>
      </c>
      <c r="G50" s="18" t="s">
        <v>264</v>
      </c>
      <c r="H50" s="35">
        <v>70</v>
      </c>
      <c r="I50" s="18" t="str">
        <f>IF(ISBLANK(#REF!),"Pending","Completed")</f>
        <v>Completed</v>
      </c>
      <c r="J50" s="33" t="str">
        <f t="shared" si="0"/>
        <v>Average Performance</v>
      </c>
    </row>
    <row r="51" spans="1:10" s="10" customFormat="1" ht="16" customHeight="1" x14ac:dyDescent="0.25">
      <c r="A51" s="17" t="s">
        <v>265</v>
      </c>
      <c r="B51" s="17" t="s">
        <v>266</v>
      </c>
      <c r="C51" s="17" t="s">
        <v>76</v>
      </c>
      <c r="D51" s="17">
        <v>75</v>
      </c>
      <c r="E51" s="17">
        <v>75</v>
      </c>
      <c r="F51" s="17" t="s">
        <v>267</v>
      </c>
      <c r="G51" s="17" t="s">
        <v>268</v>
      </c>
      <c r="H51" s="36">
        <v>75</v>
      </c>
      <c r="I51" s="17" t="str">
        <f>IF(ISBLANK(#REF!),"Pending","Completed")</f>
        <v>Completed</v>
      </c>
      <c r="J51" s="33" t="str">
        <f t="shared" si="0"/>
        <v>Average Performance</v>
      </c>
    </row>
    <row r="52" spans="1:10" ht="16" customHeight="1" x14ac:dyDescent="0.25">
      <c r="A52" s="18" t="s">
        <v>269</v>
      </c>
      <c r="B52" s="18" t="s">
        <v>270</v>
      </c>
      <c r="C52" s="18" t="s">
        <v>49</v>
      </c>
      <c r="D52" s="18">
        <v>75</v>
      </c>
      <c r="E52" s="18">
        <v>70</v>
      </c>
      <c r="F52" s="18" t="s">
        <v>271</v>
      </c>
      <c r="G52" s="18" t="s">
        <v>268</v>
      </c>
      <c r="H52" s="35">
        <v>75</v>
      </c>
      <c r="I52" s="18" t="str">
        <f>IF(ISBLANK(#REF!),"Pending","Completed")</f>
        <v>Completed</v>
      </c>
      <c r="J52" s="33" t="str">
        <f t="shared" si="0"/>
        <v>Average Performance</v>
      </c>
    </row>
    <row r="53" spans="1:10" ht="16" customHeight="1" x14ac:dyDescent="0.25">
      <c r="A53" s="17" t="s">
        <v>272</v>
      </c>
      <c r="B53" s="17" t="s">
        <v>273</v>
      </c>
      <c r="C53" s="17" t="s">
        <v>89</v>
      </c>
      <c r="D53" s="17">
        <v>75</v>
      </c>
      <c r="E53" s="17">
        <v>80</v>
      </c>
      <c r="F53" s="17" t="s">
        <v>224</v>
      </c>
      <c r="G53" s="17" t="s">
        <v>274</v>
      </c>
      <c r="H53" s="36">
        <v>80</v>
      </c>
      <c r="I53" s="17" t="str">
        <f>IF(ISBLANK(#REF!),"Pending","Completed")</f>
        <v>Completed</v>
      </c>
      <c r="J53" s="33" t="str">
        <f t="shared" si="0"/>
        <v>Average Performance</v>
      </c>
    </row>
    <row r="54" spans="1:10" ht="16" customHeight="1" x14ac:dyDescent="0.25">
      <c r="A54" s="18" t="s">
        <v>275</v>
      </c>
      <c r="B54" s="18" t="s">
        <v>276</v>
      </c>
      <c r="C54" s="18" t="s">
        <v>67</v>
      </c>
      <c r="D54" s="18">
        <v>75</v>
      </c>
      <c r="E54" s="18">
        <v>75</v>
      </c>
      <c r="F54" s="18" t="s">
        <v>277</v>
      </c>
      <c r="G54" s="18" t="s">
        <v>139</v>
      </c>
      <c r="H54" s="35">
        <v>75</v>
      </c>
      <c r="I54" s="18" t="str">
        <f>IF(ISBLANK(#REF!),"Pending","Completed")</f>
        <v>Completed</v>
      </c>
      <c r="J54" s="33" t="str">
        <f t="shared" si="0"/>
        <v>Average Performance</v>
      </c>
    </row>
    <row r="55" spans="1:10" ht="16" customHeight="1" x14ac:dyDescent="0.25">
      <c r="A55" s="17" t="s">
        <v>278</v>
      </c>
      <c r="B55" s="17" t="s">
        <v>279</v>
      </c>
      <c r="C55" s="17" t="s">
        <v>49</v>
      </c>
      <c r="D55" s="17">
        <v>80</v>
      </c>
      <c r="E55" s="17">
        <v>75</v>
      </c>
      <c r="F55" s="17" t="s">
        <v>280</v>
      </c>
      <c r="G55" s="17" t="s">
        <v>281</v>
      </c>
      <c r="H55" s="36">
        <v>78</v>
      </c>
      <c r="I55" s="17" t="str">
        <f>IF(ISBLANK(#REF!),"Pending","Completed")</f>
        <v>Completed</v>
      </c>
      <c r="J55" s="33" t="str">
        <f t="shared" si="0"/>
        <v>Average Performance</v>
      </c>
    </row>
    <row r="56" spans="1:10" ht="16" customHeight="1" x14ac:dyDescent="0.25">
      <c r="A56" s="18" t="s">
        <v>282</v>
      </c>
      <c r="B56" s="18" t="s">
        <v>34</v>
      </c>
      <c r="C56" s="18" t="s">
        <v>86</v>
      </c>
      <c r="D56" s="18">
        <v>70</v>
      </c>
      <c r="E56" s="18">
        <v>61</v>
      </c>
      <c r="F56" s="18" t="s">
        <v>33</v>
      </c>
      <c r="G56" s="18" t="s">
        <v>32</v>
      </c>
      <c r="H56" s="35">
        <v>70</v>
      </c>
      <c r="I56" s="18" t="str">
        <f>IF(ISBLANK(#REF!),"Pending","Completed")</f>
        <v>Completed</v>
      </c>
      <c r="J56" s="33" t="str">
        <f t="shared" si="0"/>
        <v>Average Performance</v>
      </c>
    </row>
    <row r="57" spans="1:10" ht="16" customHeight="1" x14ac:dyDescent="0.25">
      <c r="A57" s="17" t="s">
        <v>283</v>
      </c>
      <c r="B57" s="17" t="s">
        <v>284</v>
      </c>
      <c r="C57" s="17" t="s">
        <v>56</v>
      </c>
      <c r="D57" s="17">
        <v>70</v>
      </c>
      <c r="E57" s="17">
        <v>75</v>
      </c>
      <c r="F57" s="17" t="s">
        <v>285</v>
      </c>
      <c r="G57" s="17" t="s">
        <v>286</v>
      </c>
      <c r="H57" s="36">
        <v>75</v>
      </c>
      <c r="I57" s="17" t="str">
        <f>IF(ISBLANK(#REF!),"Pending","Completed")</f>
        <v>Completed</v>
      </c>
      <c r="J57" s="33" t="str">
        <f t="shared" si="0"/>
        <v>Average Performance</v>
      </c>
    </row>
    <row r="58" spans="1:10" ht="16" customHeight="1" x14ac:dyDescent="0.25">
      <c r="A58" s="18" t="s">
        <v>287</v>
      </c>
      <c r="B58" s="18" t="s">
        <v>288</v>
      </c>
      <c r="C58" s="18" t="s">
        <v>80</v>
      </c>
      <c r="D58" s="18">
        <v>75</v>
      </c>
      <c r="E58" s="18">
        <v>75</v>
      </c>
      <c r="F58" s="18" t="s">
        <v>196</v>
      </c>
      <c r="G58" s="18" t="s">
        <v>289</v>
      </c>
      <c r="H58" s="35">
        <v>75</v>
      </c>
      <c r="I58" s="18" t="str">
        <f>IF(ISBLANK(#REF!),"Pending","Completed")</f>
        <v>Completed</v>
      </c>
      <c r="J58" s="33" t="str">
        <f t="shared" si="0"/>
        <v>Average Performance</v>
      </c>
    </row>
    <row r="59" spans="1:10" ht="16" customHeight="1" x14ac:dyDescent="0.25">
      <c r="A59" s="17" t="s">
        <v>290</v>
      </c>
      <c r="B59" s="17" t="s">
        <v>15</v>
      </c>
      <c r="C59" s="17" t="s">
        <v>52</v>
      </c>
      <c r="D59" s="17">
        <v>75</v>
      </c>
      <c r="E59" s="17">
        <v>90</v>
      </c>
      <c r="F59" s="17" t="s">
        <v>291</v>
      </c>
      <c r="G59" s="17" t="s">
        <v>286</v>
      </c>
      <c r="H59" s="37">
        <v>90</v>
      </c>
      <c r="I59" s="17" t="str">
        <f>IF(ISBLANK(#REF!),"Pending","Completed")</f>
        <v>Completed</v>
      </c>
      <c r="J59" s="33" t="str">
        <f t="shared" si="0"/>
        <v>High Performance</v>
      </c>
    </row>
    <row r="60" spans="1:10" s="10" customFormat="1" ht="16" customHeight="1" x14ac:dyDescent="0.25">
      <c r="A60" s="18" t="s">
        <v>292</v>
      </c>
      <c r="B60" s="18" t="s">
        <v>12</v>
      </c>
      <c r="C60" s="18" t="s">
        <v>68</v>
      </c>
      <c r="D60" s="18">
        <v>85</v>
      </c>
      <c r="E60" s="18">
        <v>85</v>
      </c>
      <c r="F60" s="18" t="s">
        <v>204</v>
      </c>
      <c r="G60" s="18" t="s">
        <v>293</v>
      </c>
      <c r="H60" s="38">
        <v>85</v>
      </c>
      <c r="I60" s="18" t="str">
        <f>IF(ISBLANK(#REF!),"Pending","Completed")</f>
        <v>Completed</v>
      </c>
      <c r="J60" s="33" t="str">
        <f t="shared" si="0"/>
        <v>High Performance</v>
      </c>
    </row>
    <row r="61" spans="1:10" ht="31" customHeight="1" x14ac:dyDescent="0.25">
      <c r="A61" s="17" t="s">
        <v>294</v>
      </c>
      <c r="B61" s="17" t="s">
        <v>11</v>
      </c>
      <c r="C61" s="17" t="s">
        <v>78</v>
      </c>
      <c r="D61" s="17">
        <v>85</v>
      </c>
      <c r="E61" s="17">
        <v>85</v>
      </c>
      <c r="F61" s="17" t="s">
        <v>295</v>
      </c>
      <c r="G61" s="17" t="s">
        <v>296</v>
      </c>
      <c r="H61" s="37">
        <v>85</v>
      </c>
      <c r="I61" s="17" t="str">
        <f>IF(ISBLANK(#REF!),"Pending","Completed")</f>
        <v>Completed</v>
      </c>
      <c r="J61" s="33" t="str">
        <f t="shared" si="0"/>
        <v>High Performance</v>
      </c>
    </row>
    <row r="62" spans="1:10" ht="18" customHeight="1" x14ac:dyDescent="0.25">
      <c r="A62" s="18" t="s">
        <v>297</v>
      </c>
      <c r="B62" s="18" t="s">
        <v>16</v>
      </c>
      <c r="C62" s="18" t="s">
        <v>77</v>
      </c>
      <c r="D62" s="18">
        <v>70</v>
      </c>
      <c r="E62" s="18">
        <v>80</v>
      </c>
      <c r="F62" s="18" t="s">
        <v>298</v>
      </c>
      <c r="G62" s="18" t="s">
        <v>286</v>
      </c>
      <c r="H62" s="38">
        <v>90</v>
      </c>
      <c r="I62" s="18" t="str">
        <f>IF(ISBLANK(#REF!),"Pending","Completed")</f>
        <v>Completed</v>
      </c>
      <c r="J62" s="33" t="str">
        <f t="shared" si="0"/>
        <v>High Performance</v>
      </c>
    </row>
    <row r="63" spans="1:10" ht="18" customHeight="1" x14ac:dyDescent="0.25">
      <c r="A63" s="17" t="s">
        <v>299</v>
      </c>
      <c r="B63" s="17" t="s">
        <v>9</v>
      </c>
      <c r="C63" s="17" t="s">
        <v>65</v>
      </c>
      <c r="D63" s="17">
        <v>75</v>
      </c>
      <c r="E63" s="17">
        <v>75</v>
      </c>
      <c r="F63" s="17" t="s">
        <v>133</v>
      </c>
      <c r="G63" s="17" t="s">
        <v>66</v>
      </c>
      <c r="H63" s="37">
        <v>85</v>
      </c>
      <c r="I63" s="17" t="str">
        <f>IF(ISBLANK(#REF!),"Pending","Completed")</f>
        <v>Completed</v>
      </c>
      <c r="J63" s="33" t="str">
        <f t="shared" si="0"/>
        <v>High Performance</v>
      </c>
    </row>
    <row r="64" spans="1:10" ht="18" customHeight="1" x14ac:dyDescent="0.25">
      <c r="A64" s="18" t="s">
        <v>300</v>
      </c>
      <c r="B64" s="18" t="s">
        <v>10</v>
      </c>
      <c r="C64" s="18" t="s">
        <v>88</v>
      </c>
      <c r="D64" s="18">
        <v>75</v>
      </c>
      <c r="E64" s="18">
        <v>80</v>
      </c>
      <c r="F64" s="18" t="s">
        <v>301</v>
      </c>
      <c r="G64" s="18" t="s">
        <v>66</v>
      </c>
      <c r="H64" s="38">
        <v>85</v>
      </c>
      <c r="I64" s="18" t="str">
        <f>IF(ISBLANK(#REF!),"Pending","Completed")</f>
        <v>Completed</v>
      </c>
      <c r="J64" s="33" t="str">
        <f t="shared" si="0"/>
        <v>High Performance</v>
      </c>
    </row>
    <row r="65" spans="1:10" ht="18" customHeight="1" x14ac:dyDescent="0.25">
      <c r="A65" s="17" t="s">
        <v>302</v>
      </c>
      <c r="B65" s="17" t="s">
        <v>8</v>
      </c>
      <c r="C65" s="17" t="s">
        <v>75</v>
      </c>
      <c r="D65" s="17">
        <v>75</v>
      </c>
      <c r="E65" s="17">
        <v>90</v>
      </c>
      <c r="F65" s="17" t="s">
        <v>303</v>
      </c>
      <c r="G65" s="17" t="s">
        <v>304</v>
      </c>
      <c r="H65" s="36">
        <v>83</v>
      </c>
      <c r="I65" s="17" t="str">
        <f>IF(ISBLANK(#REF!),"Pending","Completed")</f>
        <v>Completed</v>
      </c>
      <c r="J65" s="33" t="str">
        <f t="shared" si="0"/>
        <v>High Performance</v>
      </c>
    </row>
    <row r="66" spans="1:10" s="10" customFormat="1" ht="16" customHeight="1" x14ac:dyDescent="0.25">
      <c r="A66" s="18" t="s">
        <v>305</v>
      </c>
      <c r="B66" s="18" t="s">
        <v>14</v>
      </c>
      <c r="C66" s="18" t="s">
        <v>55</v>
      </c>
      <c r="D66" s="18">
        <v>70</v>
      </c>
      <c r="E66" s="18">
        <v>85</v>
      </c>
      <c r="F66" s="18" t="s">
        <v>126</v>
      </c>
      <c r="G66" s="18" t="s">
        <v>306</v>
      </c>
      <c r="H66" s="38">
        <v>90</v>
      </c>
      <c r="I66" s="18" t="str">
        <f>IF(ISBLANK(#REF!),"Pending","Completed")</f>
        <v>Completed</v>
      </c>
      <c r="J66" s="33" t="str">
        <f t="shared" si="0"/>
        <v>High Performance</v>
      </c>
    </row>
    <row r="67" spans="1:10" x14ac:dyDescent="0.25">
      <c r="A67" s="17" t="s">
        <v>307</v>
      </c>
      <c r="B67" s="17" t="s">
        <v>7</v>
      </c>
      <c r="C67" s="17" t="s">
        <v>308</v>
      </c>
      <c r="D67" s="17">
        <v>85</v>
      </c>
      <c r="E67" s="17">
        <v>80</v>
      </c>
      <c r="F67" s="17" t="s">
        <v>309</v>
      </c>
      <c r="G67" s="17" t="s">
        <v>264</v>
      </c>
      <c r="H67" s="36">
        <v>83</v>
      </c>
      <c r="I67" s="17" t="str">
        <f>IF(ISBLANK(#REF!),"Pending","Completed")</f>
        <v>Completed</v>
      </c>
      <c r="J67" s="33" t="str">
        <f t="shared" si="0"/>
        <v>High Performance</v>
      </c>
    </row>
    <row r="68" spans="1:10" ht="26" x14ac:dyDescent="0.25">
      <c r="A68" s="18" t="s">
        <v>310</v>
      </c>
      <c r="B68" s="18" t="s">
        <v>13</v>
      </c>
      <c r="C68" s="18" t="s">
        <v>87</v>
      </c>
      <c r="D68" s="18">
        <v>75</v>
      </c>
      <c r="E68" s="18">
        <v>85</v>
      </c>
      <c r="F68" s="18" t="s">
        <v>311</v>
      </c>
      <c r="G68" s="18" t="s">
        <v>312</v>
      </c>
      <c r="H68" s="38">
        <v>90</v>
      </c>
      <c r="I68" s="18" t="str">
        <f>IF(ISBLANK(#REF!),"Pending","Completed")</f>
        <v>Completed</v>
      </c>
      <c r="J68" s="33" t="str">
        <f t="shared" si="0"/>
        <v>High Performance</v>
      </c>
    </row>
    <row r="69" spans="1:10" x14ac:dyDescent="0.25">
      <c r="A69" s="17"/>
      <c r="B69" s="17"/>
      <c r="C69" s="17"/>
      <c r="D69" s="17"/>
      <c r="E69" s="17"/>
      <c r="F69" s="17"/>
      <c r="G69" s="17"/>
      <c r="H69" s="17"/>
      <c r="I69" s="17"/>
      <c r="J69" s="17"/>
    </row>
    <row r="70" spans="1:10" x14ac:dyDescent="0.25">
      <c r="A70" s="18" t="s">
        <v>313</v>
      </c>
      <c r="B70" s="18"/>
      <c r="C70" s="18"/>
      <c r="D70" s="18"/>
      <c r="E70" s="18"/>
      <c r="F70" s="18"/>
      <c r="G70" s="18"/>
      <c r="H70" s="18"/>
      <c r="I70" s="18"/>
      <c r="J70" s="18"/>
    </row>
  </sheetData>
  <mergeCells count="2">
    <mergeCell ref="A1:M2"/>
    <mergeCell ref="L4:M4"/>
  </mergeCells>
  <conditionalFormatting sqref="A1:H66">
    <cfRule type="cellIs" dxfId="4" priority="11" operator="equal">
      <formula>"Pending"</formula>
    </cfRule>
  </conditionalFormatting>
  <conditionalFormatting sqref="I1:K1048576">
    <cfRule type="cellIs" dxfId="3" priority="10" operator="equal">
      <formula>"Completed"</formula>
    </cfRule>
  </conditionalFormatting>
  <conditionalFormatting sqref="I64:K65">
    <cfRule type="cellIs" dxfId="2" priority="8" operator="equal">
      <formula>"Pending"</formula>
    </cfRule>
  </conditionalFormatting>
  <conditionalFormatting sqref="J1:J1048576">
    <cfRule type="iconSet" priority="3">
      <iconSet>
        <cfvo type="percent" val="0"/>
        <cfvo type="percent" val="33"/>
        <cfvo type="percent" val="67"/>
      </iconSet>
    </cfRule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  <cfRule type="dataBar" priority="5">
      <dataBar>
        <cfvo type="min"/>
        <cfvo type="max"/>
        <color rgb="FF63C384"/>
      </dataBar>
    </cfRule>
    <cfRule type="containsText" dxfId="0" priority="2" operator="containsText" text="Low Performance">
      <formula>NOT(ISERROR(SEARCH("Low Performance",J1)))</formula>
    </cfRule>
    <cfRule type="containsText" dxfId="1" priority="1" operator="containsText" text="Average Performance">
      <formula>NOT(ISERROR(SEARCH("Average Performance",J1)))</formula>
    </cfRule>
  </conditionalFormatting>
  <pageMargins left="0.7" right="0.7" top="0.75" bottom="0.75" header="0.3" footer="0.3"/>
  <pageSetup orientation="portrait"/>
  <drawing r:id="rId1"/>
  <legacy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E86AB"/>
  </sheetPr>
  <dimension ref="A1:I70"/>
  <sheetViews>
    <sheetView showGridLines="0" zoomScale="78" zoomScaleNormal="78" workbookViewId="0">
      <selection sqref="A1:I2"/>
    </sheetView>
  </sheetViews>
  <sheetFormatPr defaultColWidth="9.1796875" defaultRowHeight="13.5" x14ac:dyDescent="0.25"/>
  <cols>
    <col min="1" max="1" width="10" style="1" customWidth="1"/>
    <col min="2" max="2" width="32" style="1" customWidth="1"/>
    <col min="3" max="3" width="30" style="1" customWidth="1"/>
    <col min="4" max="4" width="36.90625" style="1" bestFit="1" customWidth="1"/>
    <col min="5" max="5" width="46.453125" style="11" hidden="1" customWidth="1"/>
    <col min="6" max="6" width="32.81640625" style="9" bestFit="1" customWidth="1"/>
    <col min="7" max="7" width="28" style="1" customWidth="1"/>
    <col min="8" max="8" width="32" style="1" customWidth="1"/>
    <col min="9" max="9" width="14" style="9" customWidth="1"/>
    <col min="10" max="10" width="9.1796875" style="1" customWidth="1"/>
    <col min="11" max="16384" width="9.1796875" style="1"/>
  </cols>
  <sheetData>
    <row r="1" spans="1:9" s="2" customFormat="1" ht="28" customHeight="1" x14ac:dyDescent="0.3">
      <c r="A1" s="42" t="s">
        <v>320</v>
      </c>
      <c r="B1" s="44"/>
      <c r="C1" s="44"/>
      <c r="D1" s="44"/>
      <c r="E1" s="44"/>
      <c r="F1" s="44"/>
      <c r="G1" s="44"/>
      <c r="H1" s="44"/>
      <c r="I1" s="44"/>
    </row>
    <row r="2" spans="1:9" s="3" customFormat="1" ht="16" customHeight="1" x14ac:dyDescent="0.25">
      <c r="A2" s="45"/>
      <c r="B2" s="45"/>
      <c r="C2" s="45"/>
      <c r="D2" s="45"/>
      <c r="E2" s="45"/>
      <c r="F2" s="45"/>
      <c r="G2" s="45"/>
      <c r="H2" s="45"/>
      <c r="I2" s="45"/>
    </row>
    <row r="3" spans="1:9" s="4" customFormat="1" ht="32.5" customHeight="1" x14ac:dyDescent="0.25">
      <c r="A3" s="16" t="s">
        <v>100</v>
      </c>
      <c r="B3" s="16" t="s">
        <v>21</v>
      </c>
      <c r="C3" s="16" t="s">
        <v>3</v>
      </c>
      <c r="D3" s="16" t="s">
        <v>101</v>
      </c>
      <c r="E3" s="16" t="s">
        <v>102</v>
      </c>
      <c r="F3" s="16" t="s">
        <v>103</v>
      </c>
      <c r="G3" s="16" t="s">
        <v>20</v>
      </c>
      <c r="H3" s="16" t="s">
        <v>19</v>
      </c>
      <c r="I3" s="16" t="s">
        <v>104</v>
      </c>
    </row>
    <row r="4" spans="1:9" s="7" customFormat="1" ht="16" x14ac:dyDescent="0.4">
      <c r="A4" s="18" t="s">
        <v>117</v>
      </c>
      <c r="B4" s="18" t="s">
        <v>118</v>
      </c>
      <c r="C4" s="18" t="s">
        <v>314</v>
      </c>
      <c r="D4" s="18">
        <v>60</v>
      </c>
      <c r="E4" s="18" t="s">
        <v>106</v>
      </c>
      <c r="F4" s="18">
        <v>85</v>
      </c>
      <c r="G4" s="18" t="s">
        <v>119</v>
      </c>
      <c r="H4" s="18" t="s">
        <v>120</v>
      </c>
      <c r="I4" s="18">
        <v>75</v>
      </c>
    </row>
    <row r="5" spans="1:9" s="4" customFormat="1" ht="26" x14ac:dyDescent="0.25">
      <c r="A5" s="17" t="s">
        <v>122</v>
      </c>
      <c r="B5" s="17" t="s">
        <v>25</v>
      </c>
      <c r="C5" s="17" t="s">
        <v>58</v>
      </c>
      <c r="D5" s="17">
        <v>65</v>
      </c>
      <c r="E5" s="17" t="s">
        <v>106</v>
      </c>
      <c r="F5" s="17">
        <v>51</v>
      </c>
      <c r="G5" s="17" t="s">
        <v>24</v>
      </c>
      <c r="H5" s="17" t="s">
        <v>23</v>
      </c>
      <c r="I5" s="17">
        <v>70</v>
      </c>
    </row>
    <row r="6" spans="1:9" ht="26" x14ac:dyDescent="0.25">
      <c r="A6" s="18" t="s">
        <v>124</v>
      </c>
      <c r="B6" s="18" t="s">
        <v>125</v>
      </c>
      <c r="C6" s="18" t="s">
        <v>314</v>
      </c>
      <c r="D6" s="18">
        <v>70</v>
      </c>
      <c r="E6" s="18" t="s">
        <v>106</v>
      </c>
      <c r="F6" s="18">
        <v>75</v>
      </c>
      <c r="G6" s="18" t="s">
        <v>126</v>
      </c>
      <c r="H6" s="18" t="s">
        <v>127</v>
      </c>
      <c r="I6" s="18">
        <v>80</v>
      </c>
    </row>
    <row r="7" spans="1:9" s="4" customFormat="1" ht="26" x14ac:dyDescent="0.25">
      <c r="A7" s="17" t="s">
        <v>129</v>
      </c>
      <c r="B7" s="17" t="s">
        <v>45</v>
      </c>
      <c r="C7" s="17" t="s">
        <v>58</v>
      </c>
      <c r="D7" s="17">
        <v>70</v>
      </c>
      <c r="E7" s="17" t="s">
        <v>106</v>
      </c>
      <c r="F7" s="17">
        <v>65</v>
      </c>
      <c r="G7" s="17" t="s">
        <v>27</v>
      </c>
      <c r="H7" s="17" t="s">
        <v>44</v>
      </c>
      <c r="I7" s="17">
        <v>70</v>
      </c>
    </row>
    <row r="8" spans="1:9" s="5" customFormat="1" ht="16" customHeight="1" x14ac:dyDescent="0.25">
      <c r="A8" s="18" t="s">
        <v>131</v>
      </c>
      <c r="B8" s="18" t="s">
        <v>132</v>
      </c>
      <c r="C8" s="18" t="s">
        <v>61</v>
      </c>
      <c r="D8" s="18">
        <v>70</v>
      </c>
      <c r="E8" s="18" t="s">
        <v>106</v>
      </c>
      <c r="F8" s="18">
        <v>70</v>
      </c>
      <c r="G8" s="18" t="s">
        <v>133</v>
      </c>
      <c r="H8" s="18" t="s">
        <v>134</v>
      </c>
      <c r="I8" s="18">
        <v>70</v>
      </c>
    </row>
    <row r="9" spans="1:9" ht="26" x14ac:dyDescent="0.25">
      <c r="A9" s="17" t="s">
        <v>136</v>
      </c>
      <c r="B9" s="17" t="s">
        <v>137</v>
      </c>
      <c r="C9" s="17" t="s">
        <v>61</v>
      </c>
      <c r="D9" s="17">
        <v>70</v>
      </c>
      <c r="E9" s="17" t="s">
        <v>106</v>
      </c>
      <c r="F9" s="17">
        <v>80</v>
      </c>
      <c r="G9" s="17" t="s">
        <v>138</v>
      </c>
      <c r="H9" s="17" t="s">
        <v>139</v>
      </c>
      <c r="I9" s="17">
        <v>80</v>
      </c>
    </row>
    <row r="10" spans="1:9" s="4" customFormat="1" ht="26" x14ac:dyDescent="0.25">
      <c r="A10" s="18" t="s">
        <v>140</v>
      </c>
      <c r="B10" s="18" t="s">
        <v>141</v>
      </c>
      <c r="C10" s="18" t="s">
        <v>73</v>
      </c>
      <c r="D10" s="18">
        <v>70</v>
      </c>
      <c r="E10" s="18" t="s">
        <v>106</v>
      </c>
      <c r="F10" s="18">
        <v>75</v>
      </c>
      <c r="G10" s="18" t="s">
        <v>142</v>
      </c>
      <c r="H10" s="18" t="s">
        <v>143</v>
      </c>
      <c r="I10" s="18">
        <v>80</v>
      </c>
    </row>
    <row r="11" spans="1:9" s="4" customFormat="1" ht="16" customHeight="1" x14ac:dyDescent="0.25">
      <c r="A11" s="17"/>
      <c r="B11" s="17" t="s">
        <v>28</v>
      </c>
      <c r="C11" s="17" t="s">
        <v>52</v>
      </c>
      <c r="D11" s="17">
        <v>65</v>
      </c>
      <c r="E11" s="17" t="s">
        <v>106</v>
      </c>
      <c r="F11" s="17">
        <v>51</v>
      </c>
      <c r="G11" s="17" t="s">
        <v>27</v>
      </c>
      <c r="H11" s="17" t="s">
        <v>26</v>
      </c>
      <c r="I11" s="17">
        <v>75</v>
      </c>
    </row>
    <row r="12" spans="1:9" s="4" customFormat="1" ht="16" customHeight="1" x14ac:dyDescent="0.25">
      <c r="A12" s="18" t="s">
        <v>145</v>
      </c>
      <c r="B12" s="18" t="s">
        <v>146</v>
      </c>
      <c r="C12" s="18" t="s">
        <v>83</v>
      </c>
      <c r="D12" s="18">
        <v>70</v>
      </c>
      <c r="E12" s="18" t="s">
        <v>106</v>
      </c>
      <c r="F12" s="18">
        <v>75</v>
      </c>
      <c r="G12" s="18" t="s">
        <v>147</v>
      </c>
      <c r="H12" s="18" t="s">
        <v>148</v>
      </c>
      <c r="I12" s="18">
        <v>80</v>
      </c>
    </row>
    <row r="13" spans="1:9" ht="26" x14ac:dyDescent="0.25">
      <c r="A13" s="17" t="s">
        <v>290</v>
      </c>
      <c r="B13" s="17" t="s">
        <v>15</v>
      </c>
      <c r="C13" s="17" t="s">
        <v>52</v>
      </c>
      <c r="D13" s="17">
        <v>75</v>
      </c>
      <c r="E13" s="17" t="s">
        <v>106</v>
      </c>
      <c r="F13" s="17">
        <v>90</v>
      </c>
      <c r="G13" s="17" t="s">
        <v>291</v>
      </c>
      <c r="H13" s="17" t="s">
        <v>286</v>
      </c>
      <c r="I13" s="17">
        <v>90</v>
      </c>
    </row>
    <row r="14" spans="1:9" ht="16" customHeight="1" x14ac:dyDescent="0.25">
      <c r="A14" s="18" t="s">
        <v>149</v>
      </c>
      <c r="B14" s="18" t="s">
        <v>150</v>
      </c>
      <c r="C14" s="18" t="s">
        <v>82</v>
      </c>
      <c r="D14" s="18">
        <v>70</v>
      </c>
      <c r="E14" s="18" t="s">
        <v>106</v>
      </c>
      <c r="F14" s="18">
        <v>70</v>
      </c>
      <c r="G14" s="18" t="s">
        <v>133</v>
      </c>
      <c r="H14" s="18" t="s">
        <v>151</v>
      </c>
      <c r="I14" s="18">
        <v>80</v>
      </c>
    </row>
    <row r="15" spans="1:9" ht="16" customHeight="1" x14ac:dyDescent="0.25">
      <c r="A15" s="17" t="s">
        <v>292</v>
      </c>
      <c r="B15" s="17" t="s">
        <v>12</v>
      </c>
      <c r="C15" s="17" t="s">
        <v>68</v>
      </c>
      <c r="D15" s="17">
        <v>85</v>
      </c>
      <c r="E15" s="17" t="s">
        <v>106</v>
      </c>
      <c r="F15" s="17">
        <v>85</v>
      </c>
      <c r="G15" s="17" t="s">
        <v>204</v>
      </c>
      <c r="H15" s="17" t="s">
        <v>293</v>
      </c>
      <c r="I15" s="17">
        <v>85</v>
      </c>
    </row>
    <row r="16" spans="1:9" ht="16" customHeight="1" x14ac:dyDescent="0.25">
      <c r="A16" s="18" t="s">
        <v>152</v>
      </c>
      <c r="B16" s="18" t="s">
        <v>153</v>
      </c>
      <c r="C16" s="18" t="s">
        <v>71</v>
      </c>
      <c r="D16" s="18">
        <v>75</v>
      </c>
      <c r="E16" s="18" t="s">
        <v>106</v>
      </c>
      <c r="F16" s="18">
        <v>75</v>
      </c>
      <c r="G16" s="18" t="s">
        <v>154</v>
      </c>
      <c r="H16" s="18" t="s">
        <v>155</v>
      </c>
      <c r="I16" s="18">
        <v>75</v>
      </c>
    </row>
    <row r="17" spans="1:9" ht="16" customHeight="1" x14ac:dyDescent="0.25">
      <c r="A17" s="17" t="s">
        <v>294</v>
      </c>
      <c r="B17" s="17" t="s">
        <v>11</v>
      </c>
      <c r="C17" s="17" t="s">
        <v>78</v>
      </c>
      <c r="D17" s="17">
        <v>85</v>
      </c>
      <c r="E17" s="17" t="s">
        <v>106</v>
      </c>
      <c r="F17" s="17">
        <v>85</v>
      </c>
      <c r="G17" s="17" t="s">
        <v>295</v>
      </c>
      <c r="H17" s="17" t="s">
        <v>296</v>
      </c>
      <c r="I17" s="17">
        <v>85</v>
      </c>
    </row>
    <row r="18" spans="1:9" s="10" customFormat="1" ht="16" customHeight="1" x14ac:dyDescent="0.25">
      <c r="A18" s="18" t="s">
        <v>297</v>
      </c>
      <c r="B18" s="18" t="s">
        <v>16</v>
      </c>
      <c r="C18" s="18" t="s">
        <v>315</v>
      </c>
      <c r="D18" s="18">
        <v>70</v>
      </c>
      <c r="E18" s="18" t="s">
        <v>106</v>
      </c>
      <c r="F18" s="18">
        <v>80</v>
      </c>
      <c r="G18" s="18" t="s">
        <v>298</v>
      </c>
      <c r="H18" s="18" t="s">
        <v>286</v>
      </c>
      <c r="I18" s="18">
        <v>90</v>
      </c>
    </row>
    <row r="19" spans="1:9" ht="16" customHeight="1" x14ac:dyDescent="0.25">
      <c r="A19" s="17" t="s">
        <v>299</v>
      </c>
      <c r="B19" s="17" t="s">
        <v>9</v>
      </c>
      <c r="C19" s="17" t="s">
        <v>65</v>
      </c>
      <c r="D19" s="17">
        <v>75</v>
      </c>
      <c r="E19" s="17" t="s">
        <v>106</v>
      </c>
      <c r="F19" s="17">
        <v>75</v>
      </c>
      <c r="G19" s="17" t="s">
        <v>133</v>
      </c>
      <c r="H19" s="17" t="s">
        <v>66</v>
      </c>
      <c r="I19" s="17">
        <v>85</v>
      </c>
    </row>
    <row r="20" spans="1:9" ht="16" customHeight="1" x14ac:dyDescent="0.25">
      <c r="A20" s="18" t="s">
        <v>300</v>
      </c>
      <c r="B20" s="18" t="s">
        <v>10</v>
      </c>
      <c r="C20" s="18" t="s">
        <v>88</v>
      </c>
      <c r="D20" s="18">
        <v>75</v>
      </c>
      <c r="E20" s="18" t="s">
        <v>106</v>
      </c>
      <c r="F20" s="18">
        <v>80</v>
      </c>
      <c r="G20" s="18" t="s">
        <v>301</v>
      </c>
      <c r="H20" s="18" t="s">
        <v>66</v>
      </c>
      <c r="I20" s="18">
        <v>85</v>
      </c>
    </row>
    <row r="21" spans="1:9" ht="16" customHeight="1" x14ac:dyDescent="0.25">
      <c r="A21" s="17" t="s">
        <v>302</v>
      </c>
      <c r="B21" s="17" t="s">
        <v>8</v>
      </c>
      <c r="C21" s="17" t="s">
        <v>75</v>
      </c>
      <c r="D21" s="17">
        <v>75</v>
      </c>
      <c r="E21" s="17" t="s">
        <v>106</v>
      </c>
      <c r="F21" s="17">
        <v>90</v>
      </c>
      <c r="G21" s="17" t="s">
        <v>303</v>
      </c>
      <c r="H21" s="17" t="s">
        <v>304</v>
      </c>
      <c r="I21" s="17">
        <v>83</v>
      </c>
    </row>
    <row r="22" spans="1:9" ht="16" customHeight="1" x14ac:dyDescent="0.25">
      <c r="A22" s="18" t="s">
        <v>156</v>
      </c>
      <c r="B22" s="18" t="s">
        <v>157</v>
      </c>
      <c r="C22" s="18" t="s">
        <v>54</v>
      </c>
      <c r="D22" s="18">
        <v>70</v>
      </c>
      <c r="E22" s="18" t="s">
        <v>106</v>
      </c>
      <c r="F22" s="18">
        <v>70</v>
      </c>
      <c r="G22" s="18" t="s">
        <v>158</v>
      </c>
      <c r="H22" s="18" t="s">
        <v>159</v>
      </c>
      <c r="I22" s="18">
        <v>70</v>
      </c>
    </row>
    <row r="23" spans="1:9" ht="16" customHeight="1" x14ac:dyDescent="0.25">
      <c r="A23" s="17" t="s">
        <v>160</v>
      </c>
      <c r="B23" s="17" t="s">
        <v>161</v>
      </c>
      <c r="C23" s="17" t="s">
        <v>316</v>
      </c>
      <c r="D23" s="17">
        <v>75</v>
      </c>
      <c r="E23" s="17" t="s">
        <v>106</v>
      </c>
      <c r="F23" s="17">
        <v>75</v>
      </c>
      <c r="G23" s="17" t="s">
        <v>162</v>
      </c>
      <c r="H23" s="17" t="s">
        <v>163</v>
      </c>
      <c r="I23" s="17">
        <v>80</v>
      </c>
    </row>
    <row r="24" spans="1:9" ht="16" customHeight="1" x14ac:dyDescent="0.25">
      <c r="A24" s="18" t="s">
        <v>164</v>
      </c>
      <c r="B24" s="18" t="s">
        <v>165</v>
      </c>
      <c r="C24" s="18" t="s">
        <v>316</v>
      </c>
      <c r="D24" s="18">
        <v>75</v>
      </c>
      <c r="E24" s="18" t="s">
        <v>106</v>
      </c>
      <c r="F24" s="18">
        <v>75</v>
      </c>
      <c r="G24" s="18" t="s">
        <v>162</v>
      </c>
      <c r="H24" s="18" t="s">
        <v>166</v>
      </c>
      <c r="I24" s="18">
        <v>80</v>
      </c>
    </row>
    <row r="25" spans="1:9" ht="16" customHeight="1" x14ac:dyDescent="0.25">
      <c r="A25" s="17" t="s">
        <v>167</v>
      </c>
      <c r="B25" s="17" t="s">
        <v>168</v>
      </c>
      <c r="C25" s="17" t="s">
        <v>74</v>
      </c>
      <c r="D25" s="17">
        <v>75</v>
      </c>
      <c r="E25" s="17" t="s">
        <v>106</v>
      </c>
      <c r="F25" s="17">
        <v>75</v>
      </c>
      <c r="G25" s="17" t="s">
        <v>42</v>
      </c>
      <c r="H25" s="17" t="s">
        <v>169</v>
      </c>
      <c r="I25" s="17">
        <v>75</v>
      </c>
    </row>
    <row r="26" spans="1:9" ht="16" customHeight="1" x14ac:dyDescent="0.25">
      <c r="A26" s="18" t="s">
        <v>170</v>
      </c>
      <c r="B26" s="18" t="s">
        <v>171</v>
      </c>
      <c r="C26" s="18" t="s">
        <v>51</v>
      </c>
      <c r="D26" s="18">
        <v>80</v>
      </c>
      <c r="E26" s="18" t="s">
        <v>106</v>
      </c>
      <c r="F26" s="18">
        <v>75</v>
      </c>
      <c r="G26" s="18" t="s">
        <v>172</v>
      </c>
      <c r="H26" s="18" t="s">
        <v>173</v>
      </c>
      <c r="I26" s="18">
        <v>80</v>
      </c>
    </row>
    <row r="27" spans="1:9" ht="16" customHeight="1" x14ac:dyDescent="0.25">
      <c r="A27" s="17" t="s">
        <v>174</v>
      </c>
      <c r="B27" s="17" t="s">
        <v>175</v>
      </c>
      <c r="C27" s="17" t="s">
        <v>317</v>
      </c>
      <c r="D27" s="17">
        <v>80</v>
      </c>
      <c r="E27" s="17" t="s">
        <v>106</v>
      </c>
      <c r="F27" s="17">
        <v>80</v>
      </c>
      <c r="G27" s="17" t="s">
        <v>176</v>
      </c>
      <c r="H27" s="17" t="s">
        <v>177</v>
      </c>
      <c r="I27" s="17">
        <v>80</v>
      </c>
    </row>
    <row r="28" spans="1:9" ht="16" customHeight="1" x14ac:dyDescent="0.25">
      <c r="A28" s="18" t="s">
        <v>178</v>
      </c>
      <c r="B28" s="18" t="s">
        <v>179</v>
      </c>
      <c r="C28" s="18" t="s">
        <v>57</v>
      </c>
      <c r="D28" s="18">
        <v>80</v>
      </c>
      <c r="E28" s="18" t="s">
        <v>106</v>
      </c>
      <c r="F28" s="18">
        <v>75</v>
      </c>
      <c r="G28" s="18" t="s">
        <v>180</v>
      </c>
      <c r="H28" s="18" t="s">
        <v>181</v>
      </c>
      <c r="I28" s="18">
        <v>76</v>
      </c>
    </row>
    <row r="29" spans="1:9" ht="16" customHeight="1" x14ac:dyDescent="0.25">
      <c r="A29" s="17" t="s">
        <v>182</v>
      </c>
      <c r="B29" s="17" t="s">
        <v>183</v>
      </c>
      <c r="C29" s="17" t="s">
        <v>57</v>
      </c>
      <c r="D29" s="17">
        <v>80</v>
      </c>
      <c r="E29" s="17" t="s">
        <v>106</v>
      </c>
      <c r="F29" s="17">
        <v>75</v>
      </c>
      <c r="G29" s="17" t="s">
        <v>184</v>
      </c>
      <c r="H29" s="17" t="s">
        <v>185</v>
      </c>
      <c r="I29" s="17">
        <v>80</v>
      </c>
    </row>
    <row r="30" spans="1:9" ht="16" customHeight="1" x14ac:dyDescent="0.25">
      <c r="A30" s="18" t="s">
        <v>186</v>
      </c>
      <c r="B30" s="18" t="s">
        <v>187</v>
      </c>
      <c r="C30" s="18" t="s">
        <v>79</v>
      </c>
      <c r="D30" s="18">
        <v>75</v>
      </c>
      <c r="E30" s="18" t="s">
        <v>106</v>
      </c>
      <c r="F30" s="18">
        <v>75</v>
      </c>
      <c r="G30" s="18" t="s">
        <v>188</v>
      </c>
      <c r="H30" s="18" t="s">
        <v>189</v>
      </c>
      <c r="I30" s="18">
        <v>75</v>
      </c>
    </row>
    <row r="31" spans="1:9" ht="16" customHeight="1" x14ac:dyDescent="0.25">
      <c r="A31" s="17" t="s">
        <v>190</v>
      </c>
      <c r="B31" s="17" t="s">
        <v>191</v>
      </c>
      <c r="C31" s="17" t="s">
        <v>51</v>
      </c>
      <c r="D31" s="17">
        <v>80</v>
      </c>
      <c r="E31" s="17" t="s">
        <v>106</v>
      </c>
      <c r="F31" s="17">
        <v>75</v>
      </c>
      <c r="G31" s="17" t="s">
        <v>192</v>
      </c>
      <c r="H31" s="17" t="s">
        <v>193</v>
      </c>
      <c r="I31" s="17">
        <v>80</v>
      </c>
    </row>
    <row r="32" spans="1:9" ht="16" customHeight="1" x14ac:dyDescent="0.25">
      <c r="A32" s="18" t="s">
        <v>194</v>
      </c>
      <c r="B32" s="18" t="s">
        <v>195</v>
      </c>
      <c r="C32" s="18" t="s">
        <v>50</v>
      </c>
      <c r="D32" s="18">
        <v>80</v>
      </c>
      <c r="E32" s="18" t="s">
        <v>106</v>
      </c>
      <c r="F32" s="18">
        <v>80</v>
      </c>
      <c r="G32" s="18" t="s">
        <v>196</v>
      </c>
      <c r="H32" s="18" t="s">
        <v>197</v>
      </c>
      <c r="I32" s="18">
        <v>80</v>
      </c>
    </row>
    <row r="33" spans="1:9" ht="16" customHeight="1" x14ac:dyDescent="0.25">
      <c r="A33" s="17" t="s">
        <v>105</v>
      </c>
      <c r="B33" s="17" t="s">
        <v>43</v>
      </c>
      <c r="C33" s="17" t="s">
        <v>50</v>
      </c>
      <c r="D33" s="17">
        <v>70</v>
      </c>
      <c r="E33" s="17" t="s">
        <v>106</v>
      </c>
      <c r="F33" s="17">
        <v>65</v>
      </c>
      <c r="G33" s="17" t="s">
        <v>42</v>
      </c>
      <c r="H33" s="17" t="s">
        <v>41</v>
      </c>
      <c r="I33" s="17">
        <v>68</v>
      </c>
    </row>
    <row r="34" spans="1:9" ht="16" customHeight="1" x14ac:dyDescent="0.25">
      <c r="A34" s="18" t="s">
        <v>198</v>
      </c>
      <c r="B34" s="18" t="s">
        <v>40</v>
      </c>
      <c r="C34" s="18" t="s">
        <v>48</v>
      </c>
      <c r="D34" s="18">
        <v>80</v>
      </c>
      <c r="E34" s="18" t="s">
        <v>106</v>
      </c>
      <c r="F34" s="18">
        <v>65</v>
      </c>
      <c r="G34" s="18" t="s">
        <v>39</v>
      </c>
      <c r="H34" s="18" t="s">
        <v>38</v>
      </c>
      <c r="I34" s="18">
        <v>75</v>
      </c>
    </row>
    <row r="35" spans="1:9" ht="16" customHeight="1" x14ac:dyDescent="0.25">
      <c r="A35" s="17" t="s">
        <v>199</v>
      </c>
      <c r="B35" s="17" t="s">
        <v>200</v>
      </c>
      <c r="C35" s="17" t="s">
        <v>59</v>
      </c>
      <c r="D35" s="17">
        <v>75</v>
      </c>
      <c r="E35" s="17" t="s">
        <v>106</v>
      </c>
      <c r="F35" s="17">
        <v>75</v>
      </c>
      <c r="G35" s="17" t="s">
        <v>162</v>
      </c>
      <c r="H35" s="17" t="s">
        <v>201</v>
      </c>
      <c r="I35" s="17">
        <v>80</v>
      </c>
    </row>
    <row r="36" spans="1:9" ht="16" customHeight="1" x14ac:dyDescent="0.25">
      <c r="A36" s="18" t="s">
        <v>202</v>
      </c>
      <c r="B36" s="18" t="s">
        <v>203</v>
      </c>
      <c r="C36" s="18" t="s">
        <v>64</v>
      </c>
      <c r="D36" s="18">
        <v>75</v>
      </c>
      <c r="E36" s="18" t="s">
        <v>106</v>
      </c>
      <c r="F36" s="18">
        <v>75</v>
      </c>
      <c r="G36" s="18" t="s">
        <v>204</v>
      </c>
      <c r="H36" s="18" t="s">
        <v>205</v>
      </c>
      <c r="I36" s="18">
        <v>75</v>
      </c>
    </row>
    <row r="37" spans="1:9" ht="16" customHeight="1" x14ac:dyDescent="0.25">
      <c r="A37" s="17" t="s">
        <v>206</v>
      </c>
      <c r="B37" s="17" t="s">
        <v>207</v>
      </c>
      <c r="C37" s="17" t="s">
        <v>48</v>
      </c>
      <c r="D37" s="17">
        <v>76</v>
      </c>
      <c r="E37" s="17" t="s">
        <v>106</v>
      </c>
      <c r="F37" s="17">
        <v>70</v>
      </c>
      <c r="G37" s="17" t="s">
        <v>208</v>
      </c>
      <c r="H37" s="17" t="s">
        <v>209</v>
      </c>
      <c r="I37" s="17">
        <v>75</v>
      </c>
    </row>
    <row r="38" spans="1:9" ht="16" customHeight="1" x14ac:dyDescent="0.25">
      <c r="A38" s="18" t="s">
        <v>210</v>
      </c>
      <c r="B38" s="18" t="s">
        <v>211</v>
      </c>
      <c r="C38" s="18" t="s">
        <v>48</v>
      </c>
      <c r="D38" s="18">
        <v>75</v>
      </c>
      <c r="E38" s="18" t="s">
        <v>106</v>
      </c>
      <c r="F38" s="18">
        <v>80</v>
      </c>
      <c r="G38" s="18" t="s">
        <v>212</v>
      </c>
      <c r="H38" s="18" t="s">
        <v>213</v>
      </c>
      <c r="I38" s="18">
        <v>75</v>
      </c>
    </row>
    <row r="39" spans="1:9" ht="16" customHeight="1" x14ac:dyDescent="0.25">
      <c r="A39" s="17" t="s">
        <v>214</v>
      </c>
      <c r="B39" s="17" t="s">
        <v>215</v>
      </c>
      <c r="C39" s="17" t="s">
        <v>48</v>
      </c>
      <c r="D39" s="17">
        <v>85</v>
      </c>
      <c r="E39" s="17" t="s">
        <v>106</v>
      </c>
      <c r="F39" s="17">
        <v>75</v>
      </c>
      <c r="G39" s="17" t="s">
        <v>216</v>
      </c>
      <c r="H39" s="17" t="s">
        <v>217</v>
      </c>
      <c r="I39" s="17">
        <v>75</v>
      </c>
    </row>
    <row r="40" spans="1:9" ht="16" customHeight="1" x14ac:dyDescent="0.25">
      <c r="A40" s="18" t="s">
        <v>218</v>
      </c>
      <c r="B40" s="18" t="s">
        <v>37</v>
      </c>
      <c r="C40" s="18" t="s">
        <v>55</v>
      </c>
      <c r="D40" s="18">
        <v>70</v>
      </c>
      <c r="E40" s="18" t="s">
        <v>106</v>
      </c>
      <c r="F40" s="18">
        <v>65</v>
      </c>
      <c r="G40" s="18" t="s">
        <v>36</v>
      </c>
      <c r="H40" s="18" t="s">
        <v>35</v>
      </c>
      <c r="I40" s="18">
        <v>70</v>
      </c>
    </row>
    <row r="41" spans="1:9" ht="16" customHeight="1" x14ac:dyDescent="0.25">
      <c r="A41" s="17" t="s">
        <v>219</v>
      </c>
      <c r="B41" s="17" t="s">
        <v>220</v>
      </c>
      <c r="C41" s="17" t="s">
        <v>70</v>
      </c>
      <c r="D41" s="17">
        <v>75</v>
      </c>
      <c r="E41" s="17" t="s">
        <v>106</v>
      </c>
      <c r="F41" s="17">
        <v>75</v>
      </c>
      <c r="G41" s="17" t="s">
        <v>154</v>
      </c>
      <c r="H41" s="17" t="s">
        <v>221</v>
      </c>
      <c r="I41" s="17">
        <v>75</v>
      </c>
    </row>
    <row r="42" spans="1:9" ht="16" customHeight="1" x14ac:dyDescent="0.25">
      <c r="A42" s="18" t="s">
        <v>222</v>
      </c>
      <c r="B42" s="18" t="s">
        <v>223</v>
      </c>
      <c r="C42" s="18" t="s">
        <v>52</v>
      </c>
      <c r="D42" s="18">
        <v>75</v>
      </c>
      <c r="E42" s="18" t="s">
        <v>106</v>
      </c>
      <c r="F42" s="18">
        <v>80</v>
      </c>
      <c r="G42" s="18" t="s">
        <v>224</v>
      </c>
      <c r="H42" s="18" t="s">
        <v>225</v>
      </c>
      <c r="I42" s="18">
        <v>80</v>
      </c>
    </row>
    <row r="43" spans="1:9" ht="16" customHeight="1" x14ac:dyDescent="0.25">
      <c r="A43" s="17" t="s">
        <v>226</v>
      </c>
      <c r="B43" s="17" t="s">
        <v>227</v>
      </c>
      <c r="C43" s="17" t="s">
        <v>50</v>
      </c>
      <c r="D43" s="17">
        <v>75</v>
      </c>
      <c r="E43" s="17" t="s">
        <v>106</v>
      </c>
      <c r="F43" s="17">
        <v>75</v>
      </c>
      <c r="G43" s="17" t="s">
        <v>224</v>
      </c>
      <c r="H43" s="17" t="s">
        <v>228</v>
      </c>
      <c r="I43" s="17">
        <v>75</v>
      </c>
    </row>
    <row r="44" spans="1:9" ht="16" customHeight="1" x14ac:dyDescent="0.25">
      <c r="A44" s="18" t="s">
        <v>229</v>
      </c>
      <c r="B44" s="18" t="s">
        <v>230</v>
      </c>
      <c r="C44" s="18" t="s">
        <v>66</v>
      </c>
      <c r="D44" s="18">
        <v>75</v>
      </c>
      <c r="E44" s="18" t="s">
        <v>106</v>
      </c>
      <c r="F44" s="18">
        <v>75</v>
      </c>
      <c r="G44" s="18" t="s">
        <v>196</v>
      </c>
      <c r="H44" s="18" t="s">
        <v>231</v>
      </c>
      <c r="I44" s="18">
        <v>75</v>
      </c>
    </row>
    <row r="45" spans="1:9" ht="16" customHeight="1" x14ac:dyDescent="0.25">
      <c r="A45" s="17" t="s">
        <v>232</v>
      </c>
      <c r="B45" s="17" t="s">
        <v>233</v>
      </c>
      <c r="C45" s="17" t="s">
        <v>84</v>
      </c>
      <c r="D45" s="17">
        <v>75</v>
      </c>
      <c r="E45" s="17" t="s">
        <v>106</v>
      </c>
      <c r="F45" s="17">
        <v>70</v>
      </c>
      <c r="G45" s="17" t="s">
        <v>30</v>
      </c>
      <c r="H45" s="17" t="s">
        <v>234</v>
      </c>
      <c r="I45" s="17">
        <v>75</v>
      </c>
    </row>
    <row r="46" spans="1:9" ht="16" customHeight="1" x14ac:dyDescent="0.25">
      <c r="A46" s="18" t="s">
        <v>235</v>
      </c>
      <c r="B46" s="18" t="s">
        <v>236</v>
      </c>
      <c r="C46" s="18" t="s">
        <v>53</v>
      </c>
      <c r="D46" s="18">
        <v>70</v>
      </c>
      <c r="E46" s="18" t="s">
        <v>106</v>
      </c>
      <c r="F46" s="18">
        <v>75</v>
      </c>
      <c r="G46" s="18" t="s">
        <v>196</v>
      </c>
      <c r="H46" s="18" t="s">
        <v>237</v>
      </c>
      <c r="I46" s="18">
        <v>75</v>
      </c>
    </row>
    <row r="47" spans="1:9" ht="19.399999999999999" customHeight="1" x14ac:dyDescent="0.25">
      <c r="A47" s="17" t="s">
        <v>305</v>
      </c>
      <c r="B47" s="17" t="s">
        <v>14</v>
      </c>
      <c r="C47" s="17" t="s">
        <v>55</v>
      </c>
      <c r="D47" s="17">
        <v>70</v>
      </c>
      <c r="E47" s="17" t="s">
        <v>106</v>
      </c>
      <c r="F47" s="17">
        <v>85</v>
      </c>
      <c r="G47" s="17" t="s">
        <v>126</v>
      </c>
      <c r="H47" s="17" t="s">
        <v>306</v>
      </c>
      <c r="I47" s="17">
        <v>90</v>
      </c>
    </row>
    <row r="48" spans="1:9" ht="31.4" customHeight="1" x14ac:dyDescent="0.25">
      <c r="A48" s="18" t="s">
        <v>238</v>
      </c>
      <c r="B48" s="18" t="s">
        <v>239</v>
      </c>
      <c r="C48" s="18" t="s">
        <v>240</v>
      </c>
      <c r="D48" s="18">
        <v>70</v>
      </c>
      <c r="E48" s="18" t="s">
        <v>106</v>
      </c>
      <c r="F48" s="18">
        <v>70</v>
      </c>
      <c r="G48" s="18" t="s">
        <v>196</v>
      </c>
      <c r="H48" s="18" t="s">
        <v>241</v>
      </c>
      <c r="I48" s="18">
        <v>70</v>
      </c>
    </row>
    <row r="49" spans="1:9" ht="16" customHeight="1" x14ac:dyDescent="0.25">
      <c r="A49" s="17" t="s">
        <v>242</v>
      </c>
      <c r="B49" s="17" t="s">
        <v>243</v>
      </c>
      <c r="C49" s="17" t="s">
        <v>85</v>
      </c>
      <c r="D49" s="17">
        <v>75</v>
      </c>
      <c r="E49" s="17" t="s">
        <v>106</v>
      </c>
      <c r="F49" s="17">
        <v>70</v>
      </c>
      <c r="G49" s="17" t="s">
        <v>42</v>
      </c>
      <c r="H49" s="17" t="s">
        <v>244</v>
      </c>
      <c r="I49" s="17">
        <v>75</v>
      </c>
    </row>
    <row r="50" spans="1:9" ht="16" customHeight="1" x14ac:dyDescent="0.25">
      <c r="A50" s="18" t="s">
        <v>245</v>
      </c>
      <c r="B50" s="18" t="s">
        <v>246</v>
      </c>
      <c r="C50" s="18" t="s">
        <v>72</v>
      </c>
      <c r="D50" s="18">
        <v>75</v>
      </c>
      <c r="E50" s="18" t="s">
        <v>106</v>
      </c>
      <c r="F50" s="18">
        <v>70</v>
      </c>
      <c r="G50" s="18" t="s">
        <v>196</v>
      </c>
      <c r="H50" s="18" t="s">
        <v>247</v>
      </c>
      <c r="I50" s="18">
        <v>75</v>
      </c>
    </row>
    <row r="51" spans="1:9" s="10" customFormat="1" ht="16" customHeight="1" x14ac:dyDescent="0.25">
      <c r="A51" s="17" t="s">
        <v>248</v>
      </c>
      <c r="B51" s="17" t="s">
        <v>249</v>
      </c>
      <c r="C51" s="17" t="s">
        <v>91</v>
      </c>
      <c r="D51" s="17">
        <v>70</v>
      </c>
      <c r="E51" s="17" t="s">
        <v>106</v>
      </c>
      <c r="F51" s="17">
        <v>75</v>
      </c>
      <c r="G51" s="17" t="s">
        <v>250</v>
      </c>
      <c r="H51" s="17" t="s">
        <v>251</v>
      </c>
      <c r="I51" s="17">
        <v>80</v>
      </c>
    </row>
    <row r="52" spans="1:9" ht="16" customHeight="1" x14ac:dyDescent="0.25">
      <c r="A52" s="18" t="s">
        <v>252</v>
      </c>
      <c r="B52" s="18" t="s">
        <v>253</v>
      </c>
      <c r="C52" s="18" t="s">
        <v>69</v>
      </c>
      <c r="D52" s="18">
        <v>75</v>
      </c>
      <c r="E52" s="18" t="s">
        <v>106</v>
      </c>
      <c r="F52" s="18">
        <v>80</v>
      </c>
      <c r="G52" s="18" t="s">
        <v>196</v>
      </c>
      <c r="H52" s="18" t="s">
        <v>254</v>
      </c>
      <c r="I52" s="18">
        <v>78</v>
      </c>
    </row>
    <row r="53" spans="1:9" ht="16" customHeight="1" x14ac:dyDescent="0.25">
      <c r="A53" s="17" t="s">
        <v>255</v>
      </c>
      <c r="B53" s="17" t="s">
        <v>256</v>
      </c>
      <c r="C53" s="17" t="s">
        <v>63</v>
      </c>
      <c r="D53" s="17">
        <v>70</v>
      </c>
      <c r="E53" s="17" t="s">
        <v>106</v>
      </c>
      <c r="F53" s="17">
        <v>75</v>
      </c>
      <c r="G53" s="17" t="s">
        <v>196</v>
      </c>
      <c r="H53" s="17" t="s">
        <v>254</v>
      </c>
      <c r="I53" s="17">
        <v>73</v>
      </c>
    </row>
    <row r="54" spans="1:9" ht="16" customHeight="1" x14ac:dyDescent="0.25">
      <c r="A54" s="18" t="s">
        <v>257</v>
      </c>
      <c r="B54" s="18" t="s">
        <v>258</v>
      </c>
      <c r="C54" s="18" t="s">
        <v>62</v>
      </c>
      <c r="D54" s="18">
        <v>65</v>
      </c>
      <c r="E54" s="18" t="s">
        <v>106</v>
      </c>
      <c r="F54" s="18">
        <v>75</v>
      </c>
      <c r="G54" s="18" t="s">
        <v>259</v>
      </c>
      <c r="H54" s="18" t="s">
        <v>260</v>
      </c>
      <c r="I54" s="18">
        <v>75</v>
      </c>
    </row>
    <row r="55" spans="1:9" ht="16" customHeight="1" x14ac:dyDescent="0.25">
      <c r="A55" s="17" t="s">
        <v>261</v>
      </c>
      <c r="B55" s="17" t="s">
        <v>262</v>
      </c>
      <c r="C55" s="17" t="s">
        <v>54</v>
      </c>
      <c r="D55" s="17">
        <v>65</v>
      </c>
      <c r="E55" s="17" t="s">
        <v>106</v>
      </c>
      <c r="F55" s="17">
        <v>75</v>
      </c>
      <c r="G55" s="17" t="s">
        <v>263</v>
      </c>
      <c r="H55" s="17" t="s">
        <v>264</v>
      </c>
      <c r="I55" s="17">
        <v>70</v>
      </c>
    </row>
    <row r="56" spans="1:9" ht="16" customHeight="1" x14ac:dyDescent="0.25">
      <c r="A56" s="18" t="s">
        <v>265</v>
      </c>
      <c r="B56" s="18" t="s">
        <v>266</v>
      </c>
      <c r="C56" s="18" t="s">
        <v>76</v>
      </c>
      <c r="D56" s="18">
        <v>75</v>
      </c>
      <c r="E56" s="18" t="s">
        <v>106</v>
      </c>
      <c r="F56" s="18">
        <v>75</v>
      </c>
      <c r="G56" s="18" t="s">
        <v>267</v>
      </c>
      <c r="H56" s="18" t="s">
        <v>268</v>
      </c>
      <c r="I56" s="18">
        <v>75</v>
      </c>
    </row>
    <row r="57" spans="1:9" ht="16" customHeight="1" x14ac:dyDescent="0.25">
      <c r="A57" s="17" t="s">
        <v>107</v>
      </c>
      <c r="B57" s="17" t="s">
        <v>31</v>
      </c>
      <c r="C57" s="17" t="s">
        <v>49</v>
      </c>
      <c r="D57" s="17">
        <v>75</v>
      </c>
      <c r="E57" s="17" t="s">
        <v>106</v>
      </c>
      <c r="F57" s="17">
        <v>55</v>
      </c>
      <c r="G57" s="17" t="s">
        <v>30</v>
      </c>
      <c r="H57" s="17" t="s">
        <v>29</v>
      </c>
      <c r="I57" s="17">
        <v>60</v>
      </c>
    </row>
    <row r="58" spans="1:9" ht="16" customHeight="1" x14ac:dyDescent="0.25">
      <c r="A58" s="18" t="s">
        <v>269</v>
      </c>
      <c r="B58" s="18" t="s">
        <v>270</v>
      </c>
      <c r="C58" s="18" t="s">
        <v>49</v>
      </c>
      <c r="D58" s="18">
        <v>75</v>
      </c>
      <c r="E58" s="18" t="s">
        <v>106</v>
      </c>
      <c r="F58" s="18">
        <v>70</v>
      </c>
      <c r="G58" s="18" t="s">
        <v>271</v>
      </c>
      <c r="H58" s="18" t="s">
        <v>268</v>
      </c>
      <c r="I58" s="18">
        <v>75</v>
      </c>
    </row>
    <row r="59" spans="1:9" ht="16" customHeight="1" x14ac:dyDescent="0.25">
      <c r="A59" s="17" t="s">
        <v>307</v>
      </c>
      <c r="B59" s="17" t="s">
        <v>7</v>
      </c>
      <c r="C59" s="17" t="s">
        <v>308</v>
      </c>
      <c r="D59" s="17">
        <v>85</v>
      </c>
      <c r="E59" s="17" t="s">
        <v>106</v>
      </c>
      <c r="F59" s="17">
        <v>80</v>
      </c>
      <c r="G59" s="17" t="s">
        <v>309</v>
      </c>
      <c r="H59" s="17" t="s">
        <v>264</v>
      </c>
      <c r="I59" s="17">
        <v>83</v>
      </c>
    </row>
    <row r="60" spans="1:9" s="10" customFormat="1" ht="16" customHeight="1" x14ac:dyDescent="0.25">
      <c r="A60" s="18" t="s">
        <v>272</v>
      </c>
      <c r="B60" s="18" t="s">
        <v>273</v>
      </c>
      <c r="C60" s="18" t="s">
        <v>89</v>
      </c>
      <c r="D60" s="18">
        <v>75</v>
      </c>
      <c r="E60" s="18" t="s">
        <v>106</v>
      </c>
      <c r="F60" s="18">
        <v>80</v>
      </c>
      <c r="G60" s="18" t="s">
        <v>224</v>
      </c>
      <c r="H60" s="18" t="s">
        <v>274</v>
      </c>
      <c r="I60" s="18">
        <v>80</v>
      </c>
    </row>
    <row r="61" spans="1:9" ht="31" customHeight="1" x14ac:dyDescent="0.25">
      <c r="A61" s="17" t="s">
        <v>275</v>
      </c>
      <c r="B61" s="17" t="s">
        <v>276</v>
      </c>
      <c r="C61" s="17" t="s">
        <v>67</v>
      </c>
      <c r="D61" s="17">
        <v>75</v>
      </c>
      <c r="E61" s="17" t="s">
        <v>106</v>
      </c>
      <c r="F61" s="17">
        <v>75</v>
      </c>
      <c r="G61" s="17" t="s">
        <v>277</v>
      </c>
      <c r="H61" s="17" t="s">
        <v>139</v>
      </c>
      <c r="I61" s="17">
        <v>75</v>
      </c>
    </row>
    <row r="62" spans="1:9" ht="18" customHeight="1" x14ac:dyDescent="0.25">
      <c r="A62" s="18" t="s">
        <v>310</v>
      </c>
      <c r="B62" s="18" t="s">
        <v>13</v>
      </c>
      <c r="C62" s="18" t="s">
        <v>87</v>
      </c>
      <c r="D62" s="18">
        <v>75</v>
      </c>
      <c r="E62" s="18" t="s">
        <v>106</v>
      </c>
      <c r="F62" s="18">
        <v>85</v>
      </c>
      <c r="G62" s="18" t="s">
        <v>311</v>
      </c>
      <c r="H62" s="18" t="s">
        <v>312</v>
      </c>
      <c r="I62" s="18">
        <v>90</v>
      </c>
    </row>
    <row r="63" spans="1:9" ht="18" customHeight="1" x14ac:dyDescent="0.25">
      <c r="A63" s="17" t="s">
        <v>278</v>
      </c>
      <c r="B63" s="17" t="s">
        <v>279</v>
      </c>
      <c r="C63" s="17" t="s">
        <v>49</v>
      </c>
      <c r="D63" s="17">
        <v>80</v>
      </c>
      <c r="E63" s="17" t="s">
        <v>106</v>
      </c>
      <c r="F63" s="17">
        <v>75</v>
      </c>
      <c r="G63" s="17" t="s">
        <v>280</v>
      </c>
      <c r="H63" s="17" t="s">
        <v>281</v>
      </c>
      <c r="I63" s="17">
        <v>78</v>
      </c>
    </row>
    <row r="64" spans="1:9" ht="18" customHeight="1" x14ac:dyDescent="0.25">
      <c r="A64" s="18" t="s">
        <v>282</v>
      </c>
      <c r="B64" s="18" t="s">
        <v>34</v>
      </c>
      <c r="C64" s="18" t="s">
        <v>86</v>
      </c>
      <c r="D64" s="18">
        <v>70</v>
      </c>
      <c r="E64" s="18" t="s">
        <v>106</v>
      </c>
      <c r="F64" s="18">
        <v>61</v>
      </c>
      <c r="G64" s="18" t="s">
        <v>33</v>
      </c>
      <c r="H64" s="18" t="s">
        <v>32</v>
      </c>
      <c r="I64" s="18">
        <v>70</v>
      </c>
    </row>
    <row r="65" spans="1:9" ht="18" customHeight="1" x14ac:dyDescent="0.25">
      <c r="A65" s="17" t="s">
        <v>283</v>
      </c>
      <c r="B65" s="17" t="s">
        <v>284</v>
      </c>
      <c r="C65" s="17" t="s">
        <v>56</v>
      </c>
      <c r="D65" s="17">
        <v>70</v>
      </c>
      <c r="E65" s="17" t="s">
        <v>106</v>
      </c>
      <c r="F65" s="17">
        <v>75</v>
      </c>
      <c r="G65" s="17" t="s">
        <v>285</v>
      </c>
      <c r="H65" s="17" t="s">
        <v>286</v>
      </c>
      <c r="I65" s="17">
        <v>75</v>
      </c>
    </row>
    <row r="66" spans="1:9" s="10" customFormat="1" ht="16" customHeight="1" x14ac:dyDescent="0.25">
      <c r="A66" s="18" t="s">
        <v>108</v>
      </c>
      <c r="B66" s="18" t="s">
        <v>109</v>
      </c>
      <c r="C66" s="18" t="s">
        <v>56</v>
      </c>
      <c r="D66" s="18">
        <v>75</v>
      </c>
      <c r="E66" s="18" t="s">
        <v>106</v>
      </c>
      <c r="F66" s="18">
        <v>75</v>
      </c>
      <c r="G66" s="18" t="s">
        <v>42</v>
      </c>
      <c r="H66" s="18" t="s">
        <v>110</v>
      </c>
      <c r="I66" s="18"/>
    </row>
    <row r="67" spans="1:9" x14ac:dyDescent="0.25">
      <c r="A67" s="17" t="s">
        <v>111</v>
      </c>
      <c r="B67" s="17" t="s">
        <v>112</v>
      </c>
      <c r="C67" s="17" t="s">
        <v>81</v>
      </c>
      <c r="D67" s="17">
        <v>75</v>
      </c>
      <c r="E67" s="17" t="s">
        <v>106</v>
      </c>
      <c r="F67" s="17">
        <v>75</v>
      </c>
      <c r="G67" s="17" t="s">
        <v>113</v>
      </c>
      <c r="H67" s="17" t="s">
        <v>114</v>
      </c>
      <c r="I67" s="17"/>
    </row>
    <row r="68" spans="1:9" ht="26" x14ac:dyDescent="0.25">
      <c r="A68" s="18" t="s">
        <v>287</v>
      </c>
      <c r="B68" s="18" t="s">
        <v>288</v>
      </c>
      <c r="C68" s="18" t="s">
        <v>80</v>
      </c>
      <c r="D68" s="18">
        <v>75</v>
      </c>
      <c r="E68" s="18" t="s">
        <v>106</v>
      </c>
      <c r="F68" s="18">
        <v>75</v>
      </c>
      <c r="G68" s="18" t="s">
        <v>196</v>
      </c>
      <c r="H68" s="18" t="s">
        <v>289</v>
      </c>
      <c r="I68" s="18">
        <v>75</v>
      </c>
    </row>
    <row r="69" spans="1:9" x14ac:dyDescent="0.25">
      <c r="A69" s="17"/>
      <c r="B69" s="17"/>
      <c r="C69" s="17"/>
      <c r="D69" s="17"/>
      <c r="E69" s="17"/>
      <c r="F69" s="17"/>
      <c r="G69" s="17"/>
      <c r="H69" s="17"/>
      <c r="I69" s="17"/>
    </row>
    <row r="70" spans="1:9" x14ac:dyDescent="0.25">
      <c r="A70" s="18" t="s">
        <v>313</v>
      </c>
      <c r="B70" s="18"/>
      <c r="C70" s="18"/>
      <c r="D70" s="18"/>
      <c r="E70" s="18"/>
      <c r="F70" s="18"/>
      <c r="G70" s="18"/>
      <c r="H70" s="18"/>
      <c r="I70" s="18"/>
    </row>
  </sheetData>
  <mergeCells count="1">
    <mergeCell ref="A1:I2"/>
  </mergeCells>
  <pageMargins left="0.7" right="0.7" top="0.75" bottom="0.75" header="0.3" footer="0.3"/>
  <pageSetup orientation="portrait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tabSelected="1" workbookViewId="0">
      <selection activeCell="I4" sqref="I4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Top 10 Perfroming vendors</vt:lpstr>
      <vt:lpstr>Vendors with low Governance</vt:lpstr>
      <vt:lpstr>Vendor Category most in Demand</vt:lpstr>
      <vt:lpstr>Least Performing Vendors</vt:lpstr>
      <vt:lpstr>Overall Performance Status</vt:lpstr>
      <vt:lpstr>Cleaned Vendor ESG Data</vt:lpstr>
      <vt:lpstr>Vendors_V2 (2)</vt:lpstr>
      <vt:lpstr>ESG SCORE</vt:lpstr>
      <vt:lpstr>'Cleaned Vendor ESG Data'!Vendors_V2</vt:lpstr>
      <vt:lpstr>'Vendors_V2 (2)'!Vendors_V2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Access User</dc:creator>
  <cp:lastModifiedBy>Joseph Monjok</cp:lastModifiedBy>
  <cp:lastPrinted>2026-01-30T21:02:50Z</cp:lastPrinted>
  <dcterms:created xsi:type="dcterms:W3CDTF">2020-06-02T12:56:56Z</dcterms:created>
  <dcterms:modified xsi:type="dcterms:W3CDTF">2026-02-05T23:14:51Z</dcterms:modified>
</cp:coreProperties>
</file>